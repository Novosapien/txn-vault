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https://paycorpgroup.sharepoint.com/sites/TXNGlobal/Shared Documents/TXN Global/07_GTM/04_Sales_Motion/"/>
    </mc:Choice>
  </mc:AlternateContent>
  <xr:revisionPtr revIDLastSave="2" documentId="11_6FBF21133703422BABA402CAFFFF6133E2915EC0" xr6:coauthVersionLast="47" xr6:coauthVersionMax="47" xr10:uidLastSave="{7BE49608-A8F3-7144-BE44-38D2D27CE842}"/>
  <bookViews>
    <workbookView xWindow="0" yWindow="740" windowWidth="30240" windowHeight="18900" tabRatio="500" activeTab="3" xr2:uid="{00000000-000D-0000-FFFF-FFFF00000000}"/>
  </bookViews>
  <sheets>
    <sheet name="Cover" sheetId="1" r:id="rId1"/>
    <sheet name="01_Parameter_Reference" sheetId="2" r:id="rId2"/>
    <sheet name="Scoring_Lookups" sheetId="3" r:id="rId3"/>
    <sheet name="02_Scoring_Register" sheetId="4" r:id="rId4"/>
    <sheet name="03_Contacts" sheetId="5" r:id="rId5"/>
    <sheet name="04_Triggers" sheetId="6" r:id="rId6"/>
    <sheet name="05_Audit_Log" sheetId="7" r:id="rId7"/>
    <sheet name="06_Activities" sheetId="8" r:id="rId8"/>
    <sheet name="07_Meetings" sheetId="9" r:id="rId9"/>
    <sheet name="08_Suppression_List" sheetId="10" r:id="rId10"/>
    <sheet name="09_Freshsales_Field_Map" sheetId="11" r:id="rId11"/>
    <sheet name="Anti_Profile_Reference" sheetId="12" r:id="rId12"/>
    <sheet name="Tier_Definitions" sheetId="13" r:id="rId13"/>
    <sheet name="Lookups" sheetId="14" r:id="rId14"/>
    <sheet name="10_Watch_List" sheetId="15" r:id="rId15"/>
  </sheets>
  <definedNames>
    <definedName name="_xlnm._FilterDatabase" localSheetId="3" hidden="1">'02_Scoring_Register'!$A$4:$AP$130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130" i="4" l="1"/>
  <c r="AE130" i="4"/>
  <c r="AD130" i="4"/>
  <c r="AC130" i="4"/>
  <c r="AB130" i="4"/>
  <c r="AA130" i="4"/>
  <c r="Z130" i="4"/>
  <c r="Y130" i="4"/>
  <c r="X130" i="4"/>
  <c r="W130" i="4"/>
  <c r="V130" i="4"/>
  <c r="AP129" i="4"/>
  <c r="AE129" i="4"/>
  <c r="AD129" i="4"/>
  <c r="AC129" i="4"/>
  <c r="AB129" i="4"/>
  <c r="AA129" i="4"/>
  <c r="Z129" i="4"/>
  <c r="Y129" i="4"/>
  <c r="X129" i="4"/>
  <c r="W129" i="4"/>
  <c r="V129" i="4"/>
  <c r="AP128" i="4"/>
  <c r="AE128" i="4"/>
  <c r="AD128" i="4"/>
  <c r="AC128" i="4"/>
  <c r="AB128" i="4"/>
  <c r="AA128" i="4"/>
  <c r="Z128" i="4"/>
  <c r="Y128" i="4"/>
  <c r="X128" i="4"/>
  <c r="W128" i="4"/>
  <c r="V128" i="4"/>
  <c r="AP127" i="4"/>
  <c r="AE127" i="4"/>
  <c r="AD127" i="4"/>
  <c r="AC127" i="4"/>
  <c r="AB127" i="4"/>
  <c r="AA127" i="4"/>
  <c r="Z127" i="4"/>
  <c r="Y127" i="4"/>
  <c r="X127" i="4"/>
  <c r="W127" i="4"/>
  <c r="V127" i="4"/>
  <c r="AG127" i="4" s="1"/>
  <c r="AP126" i="4"/>
  <c r="AE126" i="4"/>
  <c r="AD126" i="4"/>
  <c r="AC126" i="4"/>
  <c r="AB126" i="4"/>
  <c r="AA126" i="4"/>
  <c r="Z126" i="4"/>
  <c r="Y126" i="4"/>
  <c r="X126" i="4"/>
  <c r="W126" i="4"/>
  <c r="V126" i="4"/>
  <c r="AG126" i="4" s="1"/>
  <c r="AP125" i="4"/>
  <c r="AE125" i="4"/>
  <c r="AD125" i="4"/>
  <c r="AC125" i="4"/>
  <c r="AB125" i="4"/>
  <c r="AA125" i="4"/>
  <c r="Z125" i="4"/>
  <c r="Y125" i="4"/>
  <c r="X125" i="4"/>
  <c r="W125" i="4"/>
  <c r="V125" i="4"/>
  <c r="AG125" i="4" s="1"/>
  <c r="AP124" i="4"/>
  <c r="AE124" i="4"/>
  <c r="AD124" i="4"/>
  <c r="AC124" i="4"/>
  <c r="AB124" i="4"/>
  <c r="AA124" i="4"/>
  <c r="Z124" i="4"/>
  <c r="Y124" i="4"/>
  <c r="X124" i="4"/>
  <c r="W124" i="4"/>
  <c r="V124" i="4"/>
  <c r="AG124" i="4" s="1"/>
  <c r="AP123" i="4"/>
  <c r="AE123" i="4"/>
  <c r="AD123" i="4"/>
  <c r="AC123" i="4"/>
  <c r="AB123" i="4"/>
  <c r="AA123" i="4"/>
  <c r="Z123" i="4"/>
  <c r="Y123" i="4"/>
  <c r="X123" i="4"/>
  <c r="W123" i="4"/>
  <c r="V123" i="4"/>
  <c r="AP122" i="4"/>
  <c r="AE122" i="4"/>
  <c r="AD122" i="4"/>
  <c r="AC122" i="4"/>
  <c r="AB122" i="4"/>
  <c r="AA122" i="4"/>
  <c r="Z122" i="4"/>
  <c r="Y122" i="4"/>
  <c r="X122" i="4"/>
  <c r="W122" i="4"/>
  <c r="V122" i="4"/>
  <c r="AP121" i="4"/>
  <c r="AE121" i="4"/>
  <c r="AD121" i="4"/>
  <c r="AC121" i="4"/>
  <c r="AB121" i="4"/>
  <c r="AA121" i="4"/>
  <c r="Z121" i="4"/>
  <c r="Y121" i="4"/>
  <c r="X121" i="4"/>
  <c r="W121" i="4"/>
  <c r="V121" i="4"/>
  <c r="AP120" i="4"/>
  <c r="AE120" i="4"/>
  <c r="AD120" i="4"/>
  <c r="AC120" i="4"/>
  <c r="AB120" i="4"/>
  <c r="AA120" i="4"/>
  <c r="Z120" i="4"/>
  <c r="Y120" i="4"/>
  <c r="X120" i="4"/>
  <c r="W120" i="4"/>
  <c r="V120" i="4"/>
  <c r="AP119" i="4"/>
  <c r="AE119" i="4"/>
  <c r="AD119" i="4"/>
  <c r="AC119" i="4"/>
  <c r="AB119" i="4"/>
  <c r="AA119" i="4"/>
  <c r="Z119" i="4"/>
  <c r="Y119" i="4"/>
  <c r="X119" i="4"/>
  <c r="W119" i="4"/>
  <c r="V119" i="4"/>
  <c r="AP118" i="4"/>
  <c r="AE118" i="4"/>
  <c r="AD118" i="4"/>
  <c r="AC118" i="4"/>
  <c r="AB118" i="4"/>
  <c r="AA118" i="4"/>
  <c r="Z118" i="4"/>
  <c r="Y118" i="4"/>
  <c r="X118" i="4"/>
  <c r="W118" i="4"/>
  <c r="V118" i="4"/>
  <c r="AP117" i="4"/>
  <c r="AE117" i="4"/>
  <c r="AD117" i="4"/>
  <c r="AC117" i="4"/>
  <c r="AB117" i="4"/>
  <c r="AA117" i="4"/>
  <c r="Z117" i="4"/>
  <c r="Y117" i="4"/>
  <c r="X117" i="4"/>
  <c r="W117" i="4"/>
  <c r="V117" i="4"/>
  <c r="AP116" i="4"/>
  <c r="AE116" i="4"/>
  <c r="AD116" i="4"/>
  <c r="AC116" i="4"/>
  <c r="AB116" i="4"/>
  <c r="AA116" i="4"/>
  <c r="Z116" i="4"/>
  <c r="Y116" i="4"/>
  <c r="X116" i="4"/>
  <c r="W116" i="4"/>
  <c r="V116" i="4"/>
  <c r="AG116" i="4" s="1"/>
  <c r="AP115" i="4"/>
  <c r="AE115" i="4"/>
  <c r="AD115" i="4"/>
  <c r="AC115" i="4"/>
  <c r="AB115" i="4"/>
  <c r="AA115" i="4"/>
  <c r="Z115" i="4"/>
  <c r="Y115" i="4"/>
  <c r="X115" i="4"/>
  <c r="W115" i="4"/>
  <c r="V115" i="4"/>
  <c r="AG115" i="4" s="1"/>
  <c r="AP114" i="4"/>
  <c r="AE114" i="4"/>
  <c r="AD114" i="4"/>
  <c r="AC114" i="4"/>
  <c r="AB114" i="4"/>
  <c r="AA114" i="4"/>
  <c r="Z114" i="4"/>
  <c r="Y114" i="4"/>
  <c r="X114" i="4"/>
  <c r="W114" i="4"/>
  <c r="V114" i="4"/>
  <c r="AG114" i="4" s="1"/>
  <c r="AP113" i="4"/>
  <c r="AE113" i="4"/>
  <c r="AD113" i="4"/>
  <c r="AC113" i="4"/>
  <c r="AB113" i="4"/>
  <c r="AA113" i="4"/>
  <c r="Z113" i="4"/>
  <c r="Y113" i="4"/>
  <c r="X113" i="4"/>
  <c r="W113" i="4"/>
  <c r="V113" i="4"/>
  <c r="AP112" i="4"/>
  <c r="AE112" i="4"/>
  <c r="AD112" i="4"/>
  <c r="AC112" i="4"/>
  <c r="AB112" i="4"/>
  <c r="AA112" i="4"/>
  <c r="Z112" i="4"/>
  <c r="Y112" i="4"/>
  <c r="X112" i="4"/>
  <c r="W112" i="4"/>
  <c r="V112" i="4"/>
  <c r="AP111" i="4"/>
  <c r="AE111" i="4"/>
  <c r="AD111" i="4"/>
  <c r="AC111" i="4"/>
  <c r="AB111" i="4"/>
  <c r="AA111" i="4"/>
  <c r="Z111" i="4"/>
  <c r="Y111" i="4"/>
  <c r="X111" i="4"/>
  <c r="W111" i="4"/>
  <c r="V111" i="4"/>
  <c r="AP110" i="4"/>
  <c r="AE110" i="4"/>
  <c r="AD110" i="4"/>
  <c r="AC110" i="4"/>
  <c r="AB110" i="4"/>
  <c r="AA110" i="4"/>
  <c r="Z110" i="4"/>
  <c r="Y110" i="4"/>
  <c r="X110" i="4"/>
  <c r="W110" i="4"/>
  <c r="V110" i="4"/>
  <c r="AP109" i="4"/>
  <c r="AE109" i="4"/>
  <c r="AD109" i="4"/>
  <c r="AC109" i="4"/>
  <c r="AB109" i="4"/>
  <c r="AA109" i="4"/>
  <c r="Z109" i="4"/>
  <c r="Y109" i="4"/>
  <c r="X109" i="4"/>
  <c r="W109" i="4"/>
  <c r="V109" i="4"/>
  <c r="AG109" i="4" s="1"/>
  <c r="AP108" i="4"/>
  <c r="AE108" i="4"/>
  <c r="AD108" i="4"/>
  <c r="AC108" i="4"/>
  <c r="AB108" i="4"/>
  <c r="AA108" i="4"/>
  <c r="Z108" i="4"/>
  <c r="Y108" i="4"/>
  <c r="X108" i="4"/>
  <c r="W108" i="4"/>
  <c r="V108" i="4"/>
  <c r="AP107" i="4"/>
  <c r="AE107" i="4"/>
  <c r="AD107" i="4"/>
  <c r="AC107" i="4"/>
  <c r="AB107" i="4"/>
  <c r="AA107" i="4"/>
  <c r="Z107" i="4"/>
  <c r="Y107" i="4"/>
  <c r="X107" i="4"/>
  <c r="W107" i="4"/>
  <c r="V107" i="4"/>
  <c r="AP106" i="4"/>
  <c r="AE106" i="4"/>
  <c r="AD106" i="4"/>
  <c r="AC106" i="4"/>
  <c r="AB106" i="4"/>
  <c r="AA106" i="4"/>
  <c r="Z106" i="4"/>
  <c r="Y106" i="4"/>
  <c r="X106" i="4"/>
  <c r="W106" i="4"/>
  <c r="V106" i="4"/>
  <c r="AP105" i="4"/>
  <c r="AE105" i="4"/>
  <c r="AD105" i="4"/>
  <c r="AC105" i="4"/>
  <c r="AB105" i="4"/>
  <c r="AA105" i="4"/>
  <c r="Z105" i="4"/>
  <c r="Y105" i="4"/>
  <c r="X105" i="4"/>
  <c r="W105" i="4"/>
  <c r="V105" i="4"/>
  <c r="AG105" i="4" s="1"/>
  <c r="AP104" i="4"/>
  <c r="AE104" i="4"/>
  <c r="AD104" i="4"/>
  <c r="AC104" i="4"/>
  <c r="AB104" i="4"/>
  <c r="AA104" i="4"/>
  <c r="Z104" i="4"/>
  <c r="Y104" i="4"/>
  <c r="X104" i="4"/>
  <c r="W104" i="4"/>
  <c r="V104" i="4"/>
  <c r="AG104" i="4" s="1"/>
  <c r="AP103" i="4"/>
  <c r="AE103" i="4"/>
  <c r="AD103" i="4"/>
  <c r="AC103" i="4"/>
  <c r="AB103" i="4"/>
  <c r="AA103" i="4"/>
  <c r="Z103" i="4"/>
  <c r="Y103" i="4"/>
  <c r="X103" i="4"/>
  <c r="W103" i="4"/>
  <c r="V103" i="4"/>
  <c r="AP102" i="4"/>
  <c r="AE102" i="4"/>
  <c r="AD102" i="4"/>
  <c r="AC102" i="4"/>
  <c r="AB102" i="4"/>
  <c r="AA102" i="4"/>
  <c r="Z102" i="4"/>
  <c r="Y102" i="4"/>
  <c r="X102" i="4"/>
  <c r="W102" i="4"/>
  <c r="V102" i="4"/>
  <c r="AP101" i="4"/>
  <c r="AE101" i="4"/>
  <c r="AD101" i="4"/>
  <c r="AC101" i="4"/>
  <c r="AB101" i="4"/>
  <c r="AA101" i="4"/>
  <c r="Z101" i="4"/>
  <c r="Y101" i="4"/>
  <c r="X101" i="4"/>
  <c r="W101" i="4"/>
  <c r="V101" i="4"/>
  <c r="AP100" i="4"/>
  <c r="AE100" i="4"/>
  <c r="AD100" i="4"/>
  <c r="AC100" i="4"/>
  <c r="AB100" i="4"/>
  <c r="AA100" i="4"/>
  <c r="Z100" i="4"/>
  <c r="Y100" i="4"/>
  <c r="X100" i="4"/>
  <c r="W100" i="4"/>
  <c r="V100" i="4"/>
  <c r="AG100" i="4" s="1"/>
  <c r="AP99" i="4"/>
  <c r="AE99" i="4"/>
  <c r="AD99" i="4"/>
  <c r="AC99" i="4"/>
  <c r="AB99" i="4"/>
  <c r="AA99" i="4"/>
  <c r="Z99" i="4"/>
  <c r="Y99" i="4"/>
  <c r="X99" i="4"/>
  <c r="W99" i="4"/>
  <c r="V99" i="4"/>
  <c r="AG99" i="4" s="1"/>
  <c r="AP98" i="4"/>
  <c r="AE98" i="4"/>
  <c r="AD98" i="4"/>
  <c r="AC98" i="4"/>
  <c r="AB98" i="4"/>
  <c r="AA98" i="4"/>
  <c r="Z98" i="4"/>
  <c r="Y98" i="4"/>
  <c r="X98" i="4"/>
  <c r="W98" i="4"/>
  <c r="V98" i="4"/>
  <c r="AP97" i="4"/>
  <c r="AE97" i="4"/>
  <c r="AD97" i="4"/>
  <c r="AC97" i="4"/>
  <c r="AB97" i="4"/>
  <c r="AA97" i="4"/>
  <c r="Z97" i="4"/>
  <c r="Y97" i="4"/>
  <c r="X97" i="4"/>
  <c r="W97" i="4"/>
  <c r="V97" i="4"/>
  <c r="AP96" i="4"/>
  <c r="AE96" i="4"/>
  <c r="AD96" i="4"/>
  <c r="AC96" i="4"/>
  <c r="AB96" i="4"/>
  <c r="AA96" i="4"/>
  <c r="Z96" i="4"/>
  <c r="Y96" i="4"/>
  <c r="X96" i="4"/>
  <c r="W96" i="4"/>
  <c r="V96" i="4"/>
  <c r="AP95" i="4"/>
  <c r="AE95" i="4"/>
  <c r="AD95" i="4"/>
  <c r="AC95" i="4"/>
  <c r="AB95" i="4"/>
  <c r="AA95" i="4"/>
  <c r="Z95" i="4"/>
  <c r="Y95" i="4"/>
  <c r="X95" i="4"/>
  <c r="W95" i="4"/>
  <c r="V95" i="4"/>
  <c r="AG95" i="4" s="1"/>
  <c r="AP94" i="4"/>
  <c r="AE94" i="4"/>
  <c r="AD94" i="4"/>
  <c r="AC94" i="4"/>
  <c r="AB94" i="4"/>
  <c r="AA94" i="4"/>
  <c r="Z94" i="4"/>
  <c r="Y94" i="4"/>
  <c r="X94" i="4"/>
  <c r="W94" i="4"/>
  <c r="V94" i="4"/>
  <c r="AP93" i="4"/>
  <c r="AE93" i="4"/>
  <c r="AD93" i="4"/>
  <c r="AC93" i="4"/>
  <c r="AB93" i="4"/>
  <c r="AA93" i="4"/>
  <c r="Z93" i="4"/>
  <c r="Y93" i="4"/>
  <c r="X93" i="4"/>
  <c r="W93" i="4"/>
  <c r="V93" i="4"/>
  <c r="AP92" i="4"/>
  <c r="AE92" i="4"/>
  <c r="AD92" i="4"/>
  <c r="AC92" i="4"/>
  <c r="AB92" i="4"/>
  <c r="AA92" i="4"/>
  <c r="Z92" i="4"/>
  <c r="Y92" i="4"/>
  <c r="X92" i="4"/>
  <c r="W92" i="4"/>
  <c r="V92" i="4"/>
  <c r="AP91" i="4"/>
  <c r="AE91" i="4"/>
  <c r="AD91" i="4"/>
  <c r="AC91" i="4"/>
  <c r="AB91" i="4"/>
  <c r="AA91" i="4"/>
  <c r="Z91" i="4"/>
  <c r="Y91" i="4"/>
  <c r="X91" i="4"/>
  <c r="W91" i="4"/>
  <c r="V91" i="4"/>
  <c r="AP90" i="4"/>
  <c r="AE90" i="4"/>
  <c r="AD90" i="4"/>
  <c r="AC90" i="4"/>
  <c r="AB90" i="4"/>
  <c r="AA90" i="4"/>
  <c r="Z90" i="4"/>
  <c r="Y90" i="4"/>
  <c r="X90" i="4"/>
  <c r="W90" i="4"/>
  <c r="V90" i="4"/>
  <c r="AP89" i="4"/>
  <c r="AE89" i="4"/>
  <c r="AD89" i="4"/>
  <c r="AC89" i="4"/>
  <c r="AB89" i="4"/>
  <c r="AA89" i="4"/>
  <c r="Z89" i="4"/>
  <c r="Y89" i="4"/>
  <c r="X89" i="4"/>
  <c r="W89" i="4"/>
  <c r="V89" i="4"/>
  <c r="AG89" i="4" s="1"/>
  <c r="AP88" i="4"/>
  <c r="AE88" i="4"/>
  <c r="AD88" i="4"/>
  <c r="AC88" i="4"/>
  <c r="AB88" i="4"/>
  <c r="AA88" i="4"/>
  <c r="Z88" i="4"/>
  <c r="Y88" i="4"/>
  <c r="X88" i="4"/>
  <c r="W88" i="4"/>
  <c r="V88" i="4"/>
  <c r="AP87" i="4"/>
  <c r="AE87" i="4"/>
  <c r="AD87" i="4"/>
  <c r="AC87" i="4"/>
  <c r="AB87" i="4"/>
  <c r="AA87" i="4"/>
  <c r="Z87" i="4"/>
  <c r="Y87" i="4"/>
  <c r="X87" i="4"/>
  <c r="W87" i="4"/>
  <c r="V87" i="4"/>
  <c r="AP86" i="4"/>
  <c r="AE86" i="4"/>
  <c r="AD86" i="4"/>
  <c r="AC86" i="4"/>
  <c r="AB86" i="4"/>
  <c r="AA86" i="4"/>
  <c r="Z86" i="4"/>
  <c r="Y86" i="4"/>
  <c r="X86" i="4"/>
  <c r="W86" i="4"/>
  <c r="V86" i="4"/>
  <c r="AP85" i="4"/>
  <c r="AE85" i="4"/>
  <c r="AD85" i="4"/>
  <c r="AC85" i="4"/>
  <c r="AB85" i="4"/>
  <c r="AA85" i="4"/>
  <c r="Z85" i="4"/>
  <c r="Y85" i="4"/>
  <c r="X85" i="4"/>
  <c r="W85" i="4"/>
  <c r="V85" i="4"/>
  <c r="AP84" i="4"/>
  <c r="AE84" i="4"/>
  <c r="AD84" i="4"/>
  <c r="AC84" i="4"/>
  <c r="AB84" i="4"/>
  <c r="AA84" i="4"/>
  <c r="Z84" i="4"/>
  <c r="Y84" i="4"/>
  <c r="X84" i="4"/>
  <c r="W84" i="4"/>
  <c r="V84" i="4"/>
  <c r="AP83" i="4"/>
  <c r="AE83" i="4"/>
  <c r="AD83" i="4"/>
  <c r="AC83" i="4"/>
  <c r="AB83" i="4"/>
  <c r="AA83" i="4"/>
  <c r="Z83" i="4"/>
  <c r="Y83" i="4"/>
  <c r="X83" i="4"/>
  <c r="W83" i="4"/>
  <c r="V83" i="4"/>
  <c r="AP82" i="4"/>
  <c r="AE82" i="4"/>
  <c r="AD82" i="4"/>
  <c r="AC82" i="4"/>
  <c r="AB82" i="4"/>
  <c r="AA82" i="4"/>
  <c r="Z82" i="4"/>
  <c r="Y82" i="4"/>
  <c r="X82" i="4"/>
  <c r="W82" i="4"/>
  <c r="V82" i="4"/>
  <c r="AP81" i="4"/>
  <c r="AE81" i="4"/>
  <c r="AD81" i="4"/>
  <c r="AC81" i="4"/>
  <c r="AB81" i="4"/>
  <c r="AA81" i="4"/>
  <c r="Z81" i="4"/>
  <c r="Y81" i="4"/>
  <c r="X81" i="4"/>
  <c r="W81" i="4"/>
  <c r="V81" i="4"/>
  <c r="AP80" i="4"/>
  <c r="AE80" i="4"/>
  <c r="AD80" i="4"/>
  <c r="AC80" i="4"/>
  <c r="AB80" i="4"/>
  <c r="AA80" i="4"/>
  <c r="Z80" i="4"/>
  <c r="Y80" i="4"/>
  <c r="X80" i="4"/>
  <c r="W80" i="4"/>
  <c r="V80" i="4"/>
  <c r="AP79" i="4"/>
  <c r="AE79" i="4"/>
  <c r="AD79" i="4"/>
  <c r="AC79" i="4"/>
  <c r="AB79" i="4"/>
  <c r="AA79" i="4"/>
  <c r="Z79" i="4"/>
  <c r="Y79" i="4"/>
  <c r="X79" i="4"/>
  <c r="W79" i="4"/>
  <c r="V79" i="4"/>
  <c r="AP78" i="4"/>
  <c r="AE78" i="4"/>
  <c r="AD78" i="4"/>
  <c r="AC78" i="4"/>
  <c r="AB78" i="4"/>
  <c r="AA78" i="4"/>
  <c r="Z78" i="4"/>
  <c r="Y78" i="4"/>
  <c r="X78" i="4"/>
  <c r="W78" i="4"/>
  <c r="V78" i="4"/>
  <c r="AP77" i="4"/>
  <c r="AE77" i="4"/>
  <c r="AD77" i="4"/>
  <c r="AC77" i="4"/>
  <c r="AB77" i="4"/>
  <c r="AA77" i="4"/>
  <c r="Z77" i="4"/>
  <c r="Y77" i="4"/>
  <c r="X77" i="4"/>
  <c r="W77" i="4"/>
  <c r="V77" i="4"/>
  <c r="AP76" i="4"/>
  <c r="AE76" i="4"/>
  <c r="AD76" i="4"/>
  <c r="AC76" i="4"/>
  <c r="AB76" i="4"/>
  <c r="AA76" i="4"/>
  <c r="Z76" i="4"/>
  <c r="Y76" i="4"/>
  <c r="X76" i="4"/>
  <c r="W76" i="4"/>
  <c r="V76" i="4"/>
  <c r="AP75" i="4"/>
  <c r="AE75" i="4"/>
  <c r="AD75" i="4"/>
  <c r="AC75" i="4"/>
  <c r="AB75" i="4"/>
  <c r="AA75" i="4"/>
  <c r="Z75" i="4"/>
  <c r="Y75" i="4"/>
  <c r="X75" i="4"/>
  <c r="W75" i="4"/>
  <c r="V75" i="4"/>
  <c r="AP74" i="4"/>
  <c r="AE74" i="4"/>
  <c r="AD74" i="4"/>
  <c r="AC74" i="4"/>
  <c r="AB74" i="4"/>
  <c r="AA74" i="4"/>
  <c r="Z74" i="4"/>
  <c r="Y74" i="4"/>
  <c r="X74" i="4"/>
  <c r="W74" i="4"/>
  <c r="V74" i="4"/>
  <c r="AP73" i="4"/>
  <c r="AE73" i="4"/>
  <c r="AD73" i="4"/>
  <c r="AC73" i="4"/>
  <c r="AB73" i="4"/>
  <c r="AA73" i="4"/>
  <c r="Z73" i="4"/>
  <c r="Y73" i="4"/>
  <c r="X73" i="4"/>
  <c r="W73" i="4"/>
  <c r="V73" i="4"/>
  <c r="AP72" i="4"/>
  <c r="AE72" i="4"/>
  <c r="AD72" i="4"/>
  <c r="AC72" i="4"/>
  <c r="AB72" i="4"/>
  <c r="AA72" i="4"/>
  <c r="Z72" i="4"/>
  <c r="Y72" i="4"/>
  <c r="X72" i="4"/>
  <c r="W72" i="4"/>
  <c r="V72" i="4"/>
  <c r="AP71" i="4"/>
  <c r="AE71" i="4"/>
  <c r="AD71" i="4"/>
  <c r="AC71" i="4"/>
  <c r="AB71" i="4"/>
  <c r="AA71" i="4"/>
  <c r="Z71" i="4"/>
  <c r="Y71" i="4"/>
  <c r="X71" i="4"/>
  <c r="W71" i="4"/>
  <c r="V71" i="4"/>
  <c r="AP70" i="4"/>
  <c r="AE70" i="4"/>
  <c r="AD70" i="4"/>
  <c r="AC70" i="4"/>
  <c r="AB70" i="4"/>
  <c r="AA70" i="4"/>
  <c r="Z70" i="4"/>
  <c r="Y70" i="4"/>
  <c r="X70" i="4"/>
  <c r="W70" i="4"/>
  <c r="V70" i="4"/>
  <c r="AP69" i="4"/>
  <c r="AE69" i="4"/>
  <c r="AD69" i="4"/>
  <c r="AC69" i="4"/>
  <c r="AB69" i="4"/>
  <c r="AA69" i="4"/>
  <c r="Z69" i="4"/>
  <c r="Y69" i="4"/>
  <c r="X69" i="4"/>
  <c r="W69" i="4"/>
  <c r="V69" i="4"/>
  <c r="AP68" i="4"/>
  <c r="AE68" i="4"/>
  <c r="AD68" i="4"/>
  <c r="AC68" i="4"/>
  <c r="AB68" i="4"/>
  <c r="AA68" i="4"/>
  <c r="Z68" i="4"/>
  <c r="Y68" i="4"/>
  <c r="X68" i="4"/>
  <c r="W68" i="4"/>
  <c r="V68" i="4"/>
  <c r="AG68" i="4" s="1"/>
  <c r="AP67" i="4"/>
  <c r="AE67" i="4"/>
  <c r="AD67" i="4"/>
  <c r="AC67" i="4"/>
  <c r="AB67" i="4"/>
  <c r="AA67" i="4"/>
  <c r="Z67" i="4"/>
  <c r="Y67" i="4"/>
  <c r="X67" i="4"/>
  <c r="W67" i="4"/>
  <c r="V67" i="4"/>
  <c r="AP66" i="4"/>
  <c r="AE66" i="4"/>
  <c r="AD66" i="4"/>
  <c r="AC66" i="4"/>
  <c r="AB66" i="4"/>
  <c r="AA66" i="4"/>
  <c r="Z66" i="4"/>
  <c r="Y66" i="4"/>
  <c r="X66" i="4"/>
  <c r="W66" i="4"/>
  <c r="V66" i="4"/>
  <c r="AP65" i="4"/>
  <c r="AE65" i="4"/>
  <c r="AD65" i="4"/>
  <c r="AC65" i="4"/>
  <c r="AB65" i="4"/>
  <c r="AA65" i="4"/>
  <c r="Z65" i="4"/>
  <c r="Y65" i="4"/>
  <c r="X65" i="4"/>
  <c r="W65" i="4"/>
  <c r="V65" i="4"/>
  <c r="AP64" i="4"/>
  <c r="AE64" i="4"/>
  <c r="AD64" i="4"/>
  <c r="AC64" i="4"/>
  <c r="AB64" i="4"/>
  <c r="AA64" i="4"/>
  <c r="Z64" i="4"/>
  <c r="Y64" i="4"/>
  <c r="X64" i="4"/>
  <c r="W64" i="4"/>
  <c r="V64" i="4"/>
  <c r="AG64" i="4" s="1"/>
  <c r="AP63" i="4"/>
  <c r="AE63" i="4"/>
  <c r="AD63" i="4"/>
  <c r="AC63" i="4"/>
  <c r="AB63" i="4"/>
  <c r="AA63" i="4"/>
  <c r="Z63" i="4"/>
  <c r="Y63" i="4"/>
  <c r="X63" i="4"/>
  <c r="W63" i="4"/>
  <c r="V63" i="4"/>
  <c r="AP62" i="4"/>
  <c r="AE62" i="4"/>
  <c r="AD62" i="4"/>
  <c r="AC62" i="4"/>
  <c r="AB62" i="4"/>
  <c r="AA62" i="4"/>
  <c r="Z62" i="4"/>
  <c r="Y62" i="4"/>
  <c r="X62" i="4"/>
  <c r="W62" i="4"/>
  <c r="V62" i="4"/>
  <c r="AP61" i="4"/>
  <c r="AE61" i="4"/>
  <c r="AD61" i="4"/>
  <c r="AC61" i="4"/>
  <c r="AB61" i="4"/>
  <c r="AA61" i="4"/>
  <c r="Z61" i="4"/>
  <c r="Y61" i="4"/>
  <c r="X61" i="4"/>
  <c r="W61" i="4"/>
  <c r="V61" i="4"/>
  <c r="AP60" i="4"/>
  <c r="AE60" i="4"/>
  <c r="AD60" i="4"/>
  <c r="AC60" i="4"/>
  <c r="AB60" i="4"/>
  <c r="AA60" i="4"/>
  <c r="Z60" i="4"/>
  <c r="Y60" i="4"/>
  <c r="X60" i="4"/>
  <c r="W60" i="4"/>
  <c r="V60" i="4"/>
  <c r="AG60" i="4" s="1"/>
  <c r="AP59" i="4"/>
  <c r="AE59" i="4"/>
  <c r="AD59" i="4"/>
  <c r="AC59" i="4"/>
  <c r="AB59" i="4"/>
  <c r="AA59" i="4"/>
  <c r="Z59" i="4"/>
  <c r="Y59" i="4"/>
  <c r="X59" i="4"/>
  <c r="W59" i="4"/>
  <c r="V59" i="4"/>
  <c r="AP58" i="4"/>
  <c r="AE58" i="4"/>
  <c r="AD58" i="4"/>
  <c r="AC58" i="4"/>
  <c r="AB58" i="4"/>
  <c r="AA58" i="4"/>
  <c r="Z58" i="4"/>
  <c r="Y58" i="4"/>
  <c r="X58" i="4"/>
  <c r="W58" i="4"/>
  <c r="V58" i="4"/>
  <c r="AP57" i="4"/>
  <c r="AE57" i="4"/>
  <c r="AD57" i="4"/>
  <c r="AC57" i="4"/>
  <c r="AB57" i="4"/>
  <c r="AA57" i="4"/>
  <c r="Z57" i="4"/>
  <c r="Y57" i="4"/>
  <c r="X57" i="4"/>
  <c r="W57" i="4"/>
  <c r="V57" i="4"/>
  <c r="AP56" i="4"/>
  <c r="AE56" i="4"/>
  <c r="AD56" i="4"/>
  <c r="AC56" i="4"/>
  <c r="AB56" i="4"/>
  <c r="AA56" i="4"/>
  <c r="Z56" i="4"/>
  <c r="Y56" i="4"/>
  <c r="X56" i="4"/>
  <c r="W56" i="4"/>
  <c r="V56" i="4"/>
  <c r="AP55" i="4"/>
  <c r="AE55" i="4"/>
  <c r="AD55" i="4"/>
  <c r="AC55" i="4"/>
  <c r="AB55" i="4"/>
  <c r="AA55" i="4"/>
  <c r="Z55" i="4"/>
  <c r="Y55" i="4"/>
  <c r="X55" i="4"/>
  <c r="W55" i="4"/>
  <c r="V55" i="4"/>
  <c r="AP54" i="4"/>
  <c r="AE54" i="4"/>
  <c r="AD54" i="4"/>
  <c r="AC54" i="4"/>
  <c r="AB54" i="4"/>
  <c r="AA54" i="4"/>
  <c r="Z54" i="4"/>
  <c r="Y54" i="4"/>
  <c r="X54" i="4"/>
  <c r="W54" i="4"/>
  <c r="V54" i="4"/>
  <c r="AP53" i="4"/>
  <c r="AE53" i="4"/>
  <c r="AD53" i="4"/>
  <c r="AC53" i="4"/>
  <c r="AB53" i="4"/>
  <c r="AA53" i="4"/>
  <c r="Z53" i="4"/>
  <c r="Y53" i="4"/>
  <c r="X53" i="4"/>
  <c r="W53" i="4"/>
  <c r="V53" i="4"/>
  <c r="AP52" i="4"/>
  <c r="AE52" i="4"/>
  <c r="AD52" i="4"/>
  <c r="AC52" i="4"/>
  <c r="AB52" i="4"/>
  <c r="AA52" i="4"/>
  <c r="Z52" i="4"/>
  <c r="Y52" i="4"/>
  <c r="X52" i="4"/>
  <c r="W52" i="4"/>
  <c r="V52" i="4"/>
  <c r="AP51" i="4"/>
  <c r="AE51" i="4"/>
  <c r="AD51" i="4"/>
  <c r="AC51" i="4"/>
  <c r="AB51" i="4"/>
  <c r="AA51" i="4"/>
  <c r="Z51" i="4"/>
  <c r="Y51" i="4"/>
  <c r="X51" i="4"/>
  <c r="W51" i="4"/>
  <c r="V51" i="4"/>
  <c r="AP50" i="4"/>
  <c r="AE50" i="4"/>
  <c r="AD50" i="4"/>
  <c r="AC50" i="4"/>
  <c r="AB50" i="4"/>
  <c r="AA50" i="4"/>
  <c r="Z50" i="4"/>
  <c r="Y50" i="4"/>
  <c r="X50" i="4"/>
  <c r="W50" i="4"/>
  <c r="V50" i="4"/>
  <c r="AP49" i="4"/>
  <c r="AE49" i="4"/>
  <c r="AD49" i="4"/>
  <c r="AC49" i="4"/>
  <c r="AB49" i="4"/>
  <c r="AA49" i="4"/>
  <c r="Z49" i="4"/>
  <c r="Y49" i="4"/>
  <c r="X49" i="4"/>
  <c r="W49" i="4"/>
  <c r="V49" i="4"/>
  <c r="AP48" i="4"/>
  <c r="AE48" i="4"/>
  <c r="AD48" i="4"/>
  <c r="AC48" i="4"/>
  <c r="AB48" i="4"/>
  <c r="AA48" i="4"/>
  <c r="Z48" i="4"/>
  <c r="Y48" i="4"/>
  <c r="X48" i="4"/>
  <c r="W48" i="4"/>
  <c r="V48" i="4"/>
  <c r="AP47" i="4"/>
  <c r="AE47" i="4"/>
  <c r="AD47" i="4"/>
  <c r="AC47" i="4"/>
  <c r="AB47" i="4"/>
  <c r="AA47" i="4"/>
  <c r="Z47" i="4"/>
  <c r="Y47" i="4"/>
  <c r="X47" i="4"/>
  <c r="W47" i="4"/>
  <c r="V47" i="4"/>
  <c r="AP46" i="4"/>
  <c r="AE46" i="4"/>
  <c r="AD46" i="4"/>
  <c r="AC46" i="4"/>
  <c r="AB46" i="4"/>
  <c r="AA46" i="4"/>
  <c r="Z46" i="4"/>
  <c r="Y46" i="4"/>
  <c r="X46" i="4"/>
  <c r="W46" i="4"/>
  <c r="V46" i="4"/>
  <c r="AP45" i="4"/>
  <c r="AE45" i="4"/>
  <c r="AD45" i="4"/>
  <c r="AC45" i="4"/>
  <c r="AB45" i="4"/>
  <c r="AA45" i="4"/>
  <c r="Z45" i="4"/>
  <c r="Y45" i="4"/>
  <c r="X45" i="4"/>
  <c r="W45" i="4"/>
  <c r="V45" i="4"/>
  <c r="AP44" i="4"/>
  <c r="AE44" i="4"/>
  <c r="AD44" i="4"/>
  <c r="AC44" i="4"/>
  <c r="AB44" i="4"/>
  <c r="AA44" i="4"/>
  <c r="Z44" i="4"/>
  <c r="Y44" i="4"/>
  <c r="X44" i="4"/>
  <c r="W44" i="4"/>
  <c r="V44" i="4"/>
  <c r="AG44" i="4" s="1"/>
  <c r="AP43" i="4"/>
  <c r="AE43" i="4"/>
  <c r="AD43" i="4"/>
  <c r="AC43" i="4"/>
  <c r="AB43" i="4"/>
  <c r="AA43" i="4"/>
  <c r="Z43" i="4"/>
  <c r="Y43" i="4"/>
  <c r="X43" i="4"/>
  <c r="W43" i="4"/>
  <c r="V43" i="4"/>
  <c r="AP42" i="4"/>
  <c r="AE42" i="4"/>
  <c r="AD42" i="4"/>
  <c r="AC42" i="4"/>
  <c r="AB42" i="4"/>
  <c r="AA42" i="4"/>
  <c r="Z42" i="4"/>
  <c r="Y42" i="4"/>
  <c r="X42" i="4"/>
  <c r="W42" i="4"/>
  <c r="V42" i="4"/>
  <c r="AP41" i="4"/>
  <c r="AE41" i="4"/>
  <c r="AD41" i="4"/>
  <c r="AC41" i="4"/>
  <c r="AB41" i="4"/>
  <c r="AA41" i="4"/>
  <c r="Z41" i="4"/>
  <c r="Y41" i="4"/>
  <c r="X41" i="4"/>
  <c r="W41" i="4"/>
  <c r="V41" i="4"/>
  <c r="AP40" i="4"/>
  <c r="AE40" i="4"/>
  <c r="AD40" i="4"/>
  <c r="AC40" i="4"/>
  <c r="AB40" i="4"/>
  <c r="AA40" i="4"/>
  <c r="Z40" i="4"/>
  <c r="Y40" i="4"/>
  <c r="X40" i="4"/>
  <c r="W40" i="4"/>
  <c r="V40" i="4"/>
  <c r="AP39" i="4"/>
  <c r="AE39" i="4"/>
  <c r="AD39" i="4"/>
  <c r="AC39" i="4"/>
  <c r="AB39" i="4"/>
  <c r="AA39" i="4"/>
  <c r="Z39" i="4"/>
  <c r="Y39" i="4"/>
  <c r="X39" i="4"/>
  <c r="W39" i="4"/>
  <c r="V39" i="4"/>
  <c r="AP38" i="4"/>
  <c r="AE38" i="4"/>
  <c r="AD38" i="4"/>
  <c r="AC38" i="4"/>
  <c r="AB38" i="4"/>
  <c r="AA38" i="4"/>
  <c r="Z38" i="4"/>
  <c r="Y38" i="4"/>
  <c r="X38" i="4"/>
  <c r="W38" i="4"/>
  <c r="V38" i="4"/>
  <c r="AP37" i="4"/>
  <c r="AE37" i="4"/>
  <c r="AD37" i="4"/>
  <c r="AC37" i="4"/>
  <c r="AB37" i="4"/>
  <c r="AA37" i="4"/>
  <c r="Z37" i="4"/>
  <c r="Y37" i="4"/>
  <c r="X37" i="4"/>
  <c r="W37" i="4"/>
  <c r="V37" i="4"/>
  <c r="AP36" i="4"/>
  <c r="AE36" i="4"/>
  <c r="AD36" i="4"/>
  <c r="AC36" i="4"/>
  <c r="AB36" i="4"/>
  <c r="AA36" i="4"/>
  <c r="Z36" i="4"/>
  <c r="Y36" i="4"/>
  <c r="X36" i="4"/>
  <c r="W36" i="4"/>
  <c r="V36" i="4"/>
  <c r="AP35" i="4"/>
  <c r="AE35" i="4"/>
  <c r="AD35" i="4"/>
  <c r="AC35" i="4"/>
  <c r="AB35" i="4"/>
  <c r="AA35" i="4"/>
  <c r="Z35" i="4"/>
  <c r="Y35" i="4"/>
  <c r="X35" i="4"/>
  <c r="W35" i="4"/>
  <c r="V35" i="4"/>
  <c r="AP34" i="4"/>
  <c r="AE34" i="4"/>
  <c r="AD34" i="4"/>
  <c r="AC34" i="4"/>
  <c r="AB34" i="4"/>
  <c r="AA34" i="4"/>
  <c r="Z34" i="4"/>
  <c r="Y34" i="4"/>
  <c r="X34" i="4"/>
  <c r="W34" i="4"/>
  <c r="V34" i="4"/>
  <c r="AP33" i="4"/>
  <c r="AE33" i="4"/>
  <c r="AD33" i="4"/>
  <c r="AC33" i="4"/>
  <c r="AB33" i="4"/>
  <c r="AA33" i="4"/>
  <c r="Z33" i="4"/>
  <c r="Y33" i="4"/>
  <c r="X33" i="4"/>
  <c r="W33" i="4"/>
  <c r="V33" i="4"/>
  <c r="AP32" i="4"/>
  <c r="AE32" i="4"/>
  <c r="AD32" i="4"/>
  <c r="AC32" i="4"/>
  <c r="AB32" i="4"/>
  <c r="AA32" i="4"/>
  <c r="Z32" i="4"/>
  <c r="Y32" i="4"/>
  <c r="X32" i="4"/>
  <c r="W32" i="4"/>
  <c r="V32" i="4"/>
  <c r="AP31" i="4"/>
  <c r="AE31" i="4"/>
  <c r="AD31" i="4"/>
  <c r="AC31" i="4"/>
  <c r="AB31" i="4"/>
  <c r="AA31" i="4"/>
  <c r="Z31" i="4"/>
  <c r="Y31" i="4"/>
  <c r="X31" i="4"/>
  <c r="W31" i="4"/>
  <c r="V31" i="4"/>
  <c r="AP30" i="4"/>
  <c r="AE30" i="4"/>
  <c r="AD30" i="4"/>
  <c r="AC30" i="4"/>
  <c r="AB30" i="4"/>
  <c r="AA30" i="4"/>
  <c r="Z30" i="4"/>
  <c r="Y30" i="4"/>
  <c r="X30" i="4"/>
  <c r="W30" i="4"/>
  <c r="V30" i="4"/>
  <c r="AP29" i="4"/>
  <c r="AE29" i="4"/>
  <c r="AD29" i="4"/>
  <c r="AC29" i="4"/>
  <c r="AB29" i="4"/>
  <c r="AA29" i="4"/>
  <c r="Z29" i="4"/>
  <c r="Y29" i="4"/>
  <c r="X29" i="4"/>
  <c r="W29" i="4"/>
  <c r="V29" i="4"/>
  <c r="AP28" i="4"/>
  <c r="AE28" i="4"/>
  <c r="AD28" i="4"/>
  <c r="AC28" i="4"/>
  <c r="AB28" i="4"/>
  <c r="AA28" i="4"/>
  <c r="Z28" i="4"/>
  <c r="Y28" i="4"/>
  <c r="X28" i="4"/>
  <c r="W28" i="4"/>
  <c r="V28" i="4"/>
  <c r="AP27" i="4"/>
  <c r="AE27" i="4"/>
  <c r="AD27" i="4"/>
  <c r="AC27" i="4"/>
  <c r="AB27" i="4"/>
  <c r="AA27" i="4"/>
  <c r="Z27" i="4"/>
  <c r="Y27" i="4"/>
  <c r="X27" i="4"/>
  <c r="W27" i="4"/>
  <c r="V27" i="4"/>
  <c r="AP26" i="4"/>
  <c r="AE26" i="4"/>
  <c r="AD26" i="4"/>
  <c r="AC26" i="4"/>
  <c r="AB26" i="4"/>
  <c r="AA26" i="4"/>
  <c r="Z26" i="4"/>
  <c r="Y26" i="4"/>
  <c r="X26" i="4"/>
  <c r="W26" i="4"/>
  <c r="V26" i="4"/>
  <c r="AP25" i="4"/>
  <c r="AE25" i="4"/>
  <c r="AD25" i="4"/>
  <c r="AC25" i="4"/>
  <c r="AB25" i="4"/>
  <c r="AA25" i="4"/>
  <c r="Z25" i="4"/>
  <c r="Y25" i="4"/>
  <c r="X25" i="4"/>
  <c r="W25" i="4"/>
  <c r="V25" i="4"/>
  <c r="AP24" i="4"/>
  <c r="AE24" i="4"/>
  <c r="AD24" i="4"/>
  <c r="AC24" i="4"/>
  <c r="AB24" i="4"/>
  <c r="AA24" i="4"/>
  <c r="Z24" i="4"/>
  <c r="Y24" i="4"/>
  <c r="X24" i="4"/>
  <c r="W24" i="4"/>
  <c r="V24" i="4"/>
  <c r="AG24" i="4" s="1"/>
  <c r="AP23" i="4"/>
  <c r="AE23" i="4"/>
  <c r="AD23" i="4"/>
  <c r="AC23" i="4"/>
  <c r="AB23" i="4"/>
  <c r="AA23" i="4"/>
  <c r="Z23" i="4"/>
  <c r="Y23" i="4"/>
  <c r="X23" i="4"/>
  <c r="W23" i="4"/>
  <c r="V23" i="4"/>
  <c r="AP22" i="4"/>
  <c r="AE22" i="4"/>
  <c r="AD22" i="4"/>
  <c r="AC22" i="4"/>
  <c r="AB22" i="4"/>
  <c r="AA22" i="4"/>
  <c r="Z22" i="4"/>
  <c r="Y22" i="4"/>
  <c r="X22" i="4"/>
  <c r="W22" i="4"/>
  <c r="V22" i="4"/>
  <c r="AP21" i="4"/>
  <c r="AE21" i="4"/>
  <c r="AD21" i="4"/>
  <c r="AC21" i="4"/>
  <c r="AB21" i="4"/>
  <c r="AA21" i="4"/>
  <c r="Z21" i="4"/>
  <c r="Y21" i="4"/>
  <c r="X21" i="4"/>
  <c r="W21" i="4"/>
  <c r="V21" i="4"/>
  <c r="AP20" i="4"/>
  <c r="AE20" i="4"/>
  <c r="AD20" i="4"/>
  <c r="AC20" i="4"/>
  <c r="AB20" i="4"/>
  <c r="AA20" i="4"/>
  <c r="Z20" i="4"/>
  <c r="Y20" i="4"/>
  <c r="X20" i="4"/>
  <c r="W20" i="4"/>
  <c r="V20" i="4"/>
  <c r="AP19" i="4"/>
  <c r="AE19" i="4"/>
  <c r="AD19" i="4"/>
  <c r="AC19" i="4"/>
  <c r="AB19" i="4"/>
  <c r="AA19" i="4"/>
  <c r="Z19" i="4"/>
  <c r="Y19" i="4"/>
  <c r="X19" i="4"/>
  <c r="W19" i="4"/>
  <c r="V19" i="4"/>
  <c r="AP18" i="4"/>
  <c r="AE18" i="4"/>
  <c r="AD18" i="4"/>
  <c r="AC18" i="4"/>
  <c r="AB18" i="4"/>
  <c r="AA18" i="4"/>
  <c r="Z18" i="4"/>
  <c r="Y18" i="4"/>
  <c r="X18" i="4"/>
  <c r="W18" i="4"/>
  <c r="V18" i="4"/>
  <c r="AP17" i="4"/>
  <c r="AE17" i="4"/>
  <c r="AD17" i="4"/>
  <c r="AC17" i="4"/>
  <c r="AB17" i="4"/>
  <c r="AA17" i="4"/>
  <c r="Z17" i="4"/>
  <c r="Y17" i="4"/>
  <c r="X17" i="4"/>
  <c r="W17" i="4"/>
  <c r="V17" i="4"/>
  <c r="AP16" i="4"/>
  <c r="AE16" i="4"/>
  <c r="AD16" i="4"/>
  <c r="AC16" i="4"/>
  <c r="AB16" i="4"/>
  <c r="AA16" i="4"/>
  <c r="Z16" i="4"/>
  <c r="Y16" i="4"/>
  <c r="X16" i="4"/>
  <c r="W16" i="4"/>
  <c r="V16" i="4"/>
  <c r="AP15" i="4"/>
  <c r="AE15" i="4"/>
  <c r="AD15" i="4"/>
  <c r="AC15" i="4"/>
  <c r="AB15" i="4"/>
  <c r="AA15" i="4"/>
  <c r="Z15" i="4"/>
  <c r="Y15" i="4"/>
  <c r="X15" i="4"/>
  <c r="W15" i="4"/>
  <c r="V15" i="4"/>
  <c r="AP14" i="4"/>
  <c r="AE14" i="4"/>
  <c r="AD14" i="4"/>
  <c r="AC14" i="4"/>
  <c r="AB14" i="4"/>
  <c r="AA14" i="4"/>
  <c r="Z14" i="4"/>
  <c r="Y14" i="4"/>
  <c r="X14" i="4"/>
  <c r="W14" i="4"/>
  <c r="V14" i="4"/>
  <c r="AP13" i="4"/>
  <c r="AE13" i="4"/>
  <c r="AD13" i="4"/>
  <c r="AC13" i="4"/>
  <c r="AB13" i="4"/>
  <c r="AA13" i="4"/>
  <c r="Z13" i="4"/>
  <c r="Y13" i="4"/>
  <c r="X13" i="4"/>
  <c r="W13" i="4"/>
  <c r="V13" i="4"/>
  <c r="AP12" i="4"/>
  <c r="AE12" i="4"/>
  <c r="AD12" i="4"/>
  <c r="AC12" i="4"/>
  <c r="AB12" i="4"/>
  <c r="AA12" i="4"/>
  <c r="Z12" i="4"/>
  <c r="Y12" i="4"/>
  <c r="X12" i="4"/>
  <c r="W12" i="4"/>
  <c r="V12" i="4"/>
  <c r="AP11" i="4"/>
  <c r="AE11" i="4"/>
  <c r="AD11" i="4"/>
  <c r="AC11" i="4"/>
  <c r="AB11" i="4"/>
  <c r="AA11" i="4"/>
  <c r="Z11" i="4"/>
  <c r="Y11" i="4"/>
  <c r="X11" i="4"/>
  <c r="W11" i="4"/>
  <c r="V11" i="4"/>
  <c r="AP10" i="4"/>
  <c r="AE10" i="4"/>
  <c r="AD10" i="4"/>
  <c r="AC10" i="4"/>
  <c r="AB10" i="4"/>
  <c r="AA10" i="4"/>
  <c r="Z10" i="4"/>
  <c r="Y10" i="4"/>
  <c r="X10" i="4"/>
  <c r="W10" i="4"/>
  <c r="V10" i="4"/>
  <c r="AP9" i="4"/>
  <c r="AE9" i="4"/>
  <c r="AD9" i="4"/>
  <c r="AC9" i="4"/>
  <c r="AB9" i="4"/>
  <c r="AA9" i="4"/>
  <c r="Z9" i="4"/>
  <c r="Y9" i="4"/>
  <c r="X9" i="4"/>
  <c r="W9" i="4"/>
  <c r="V9" i="4"/>
  <c r="AP8" i="4"/>
  <c r="AE8" i="4"/>
  <c r="AD8" i="4"/>
  <c r="AC8" i="4"/>
  <c r="AB8" i="4"/>
  <c r="AA8" i="4"/>
  <c r="Z8" i="4"/>
  <c r="Y8" i="4"/>
  <c r="X8" i="4"/>
  <c r="W8" i="4"/>
  <c r="V8" i="4"/>
  <c r="AP7" i="4"/>
  <c r="AE7" i="4"/>
  <c r="AD7" i="4"/>
  <c r="AC7" i="4"/>
  <c r="AB7" i="4"/>
  <c r="AA7" i="4"/>
  <c r="Z7" i="4"/>
  <c r="Y7" i="4"/>
  <c r="X7" i="4"/>
  <c r="W7" i="4"/>
  <c r="V7" i="4"/>
  <c r="AP6" i="4"/>
  <c r="AE6" i="4"/>
  <c r="AD6" i="4"/>
  <c r="AC6" i="4"/>
  <c r="AB6" i="4"/>
  <c r="AA6" i="4"/>
  <c r="Z6" i="4"/>
  <c r="Y6" i="4"/>
  <c r="X6" i="4"/>
  <c r="W6" i="4"/>
  <c r="V6" i="4"/>
  <c r="AP5" i="4"/>
  <c r="AE5" i="4"/>
  <c r="AD5" i="4"/>
  <c r="AC5" i="4"/>
  <c r="AB5" i="4"/>
  <c r="AA5" i="4"/>
  <c r="Z5" i="4"/>
  <c r="Y5" i="4"/>
  <c r="X5" i="4"/>
  <c r="W5" i="4"/>
  <c r="V5" i="4"/>
  <c r="AF81" i="4" l="1"/>
  <c r="AG91" i="4"/>
  <c r="AF11" i="4"/>
  <c r="AF31" i="4"/>
  <c r="AG62" i="4"/>
  <c r="AG82" i="4"/>
  <c r="AJ82" i="4" s="1"/>
  <c r="AG94" i="4"/>
  <c r="AF35" i="4"/>
  <c r="AF47" i="4"/>
  <c r="AF67" i="4"/>
  <c r="AG8" i="4"/>
  <c r="AG18" i="4"/>
  <c r="AG28" i="4"/>
  <c r="AG48" i="4"/>
  <c r="AJ48" i="4" s="1"/>
  <c r="AG35" i="4"/>
  <c r="AJ35" i="4" s="1"/>
  <c r="AF55" i="4"/>
  <c r="AI55" i="4" s="1"/>
  <c r="AG55" i="4"/>
  <c r="AJ55" i="4" s="1"/>
  <c r="AF75" i="4"/>
  <c r="AG75" i="4"/>
  <c r="AG101" i="4"/>
  <c r="AJ101" i="4" s="1"/>
  <c r="AG111" i="4"/>
  <c r="AG121" i="4"/>
  <c r="AF5" i="4"/>
  <c r="AG5" i="4"/>
  <c r="AJ5" i="4" s="1"/>
  <c r="AF7" i="4"/>
  <c r="AI7" i="4" s="1"/>
  <c r="AG7" i="4"/>
  <c r="AJ7" i="4" s="1"/>
  <c r="AF9" i="4"/>
  <c r="AG9" i="4"/>
  <c r="AF22" i="4"/>
  <c r="AF29" i="4"/>
  <c r="AG29" i="4"/>
  <c r="AJ29" i="4" s="1"/>
  <c r="AG42" i="4"/>
  <c r="AF49" i="4"/>
  <c r="AG49" i="4"/>
  <c r="AJ49" i="4" s="1"/>
  <c r="AF69" i="4"/>
  <c r="AG69" i="4"/>
  <c r="AG83" i="4"/>
  <c r="AG92" i="4"/>
  <c r="AJ92" i="4" s="1"/>
  <c r="AG102" i="4"/>
  <c r="AJ102" i="4" s="1"/>
  <c r="AG112" i="4"/>
  <c r="AJ112" i="4" s="1"/>
  <c r="AG122" i="4"/>
  <c r="AG11" i="4"/>
  <c r="AJ11" i="4" s="1"/>
  <c r="AG16" i="4"/>
  <c r="AF23" i="4"/>
  <c r="AG23" i="4"/>
  <c r="AG36" i="4"/>
  <c r="AJ36" i="4" s="1"/>
  <c r="AF43" i="4"/>
  <c r="AI43" i="4" s="1"/>
  <c r="AG43" i="4"/>
  <c r="AG56" i="4"/>
  <c r="AJ56" i="4" s="1"/>
  <c r="AF63" i="4"/>
  <c r="AG63" i="4"/>
  <c r="AG76" i="4"/>
  <c r="AJ76" i="4" s="1"/>
  <c r="AG84" i="4"/>
  <c r="AJ84" i="4" s="1"/>
  <c r="AG93" i="4"/>
  <c r="AG103" i="4"/>
  <c r="AG113" i="4"/>
  <c r="AJ113" i="4" s="1"/>
  <c r="AG123" i="4"/>
  <c r="AF15" i="4"/>
  <c r="AG15" i="4"/>
  <c r="AJ15" i="4" s="1"/>
  <c r="AG10" i="4"/>
  <c r="AJ10" i="4" s="1"/>
  <c r="AF17" i="4"/>
  <c r="AG17" i="4"/>
  <c r="AI17" i="4" s="1"/>
  <c r="AF30" i="4"/>
  <c r="AF37" i="4"/>
  <c r="AG37" i="4"/>
  <c r="AJ37" i="4" s="1"/>
  <c r="AG50" i="4"/>
  <c r="AJ50" i="4" s="1"/>
  <c r="AF57" i="4"/>
  <c r="AG57" i="4"/>
  <c r="AG70" i="4"/>
  <c r="AJ70" i="4" s="1"/>
  <c r="AF77" i="4"/>
  <c r="AG77" i="4"/>
  <c r="AF85" i="4"/>
  <c r="AG85" i="4"/>
  <c r="AG31" i="4"/>
  <c r="AJ31" i="4" s="1"/>
  <c r="AF51" i="4"/>
  <c r="AG51" i="4"/>
  <c r="AJ51" i="4" s="1"/>
  <c r="AF71" i="4"/>
  <c r="AG71" i="4"/>
  <c r="AJ71" i="4" s="1"/>
  <c r="AG38" i="4"/>
  <c r="AJ38" i="4" s="1"/>
  <c r="AF45" i="4"/>
  <c r="AG45" i="4"/>
  <c r="AG58" i="4"/>
  <c r="AJ58" i="4" s="1"/>
  <c r="AF65" i="4"/>
  <c r="AG65" i="4"/>
  <c r="AJ65" i="4" s="1"/>
  <c r="AG78" i="4"/>
  <c r="AG86" i="4"/>
  <c r="AG96" i="4"/>
  <c r="AJ96" i="4" s="1"/>
  <c r="AG106" i="4"/>
  <c r="AG12" i="4"/>
  <c r="AJ12" i="4" s="1"/>
  <c r="AF19" i="4"/>
  <c r="AG19" i="4"/>
  <c r="AJ19" i="4" s="1"/>
  <c r="AF32" i="4"/>
  <c r="AF39" i="4"/>
  <c r="AG39" i="4"/>
  <c r="AJ39" i="4" s="1"/>
  <c r="AF52" i="4"/>
  <c r="AF59" i="4"/>
  <c r="AG59" i="4"/>
  <c r="AJ59" i="4" s="1"/>
  <c r="AG72" i="4"/>
  <c r="AG79" i="4"/>
  <c r="AJ79" i="4" s="1"/>
  <c r="AG87" i="4"/>
  <c r="AJ87" i="4" s="1"/>
  <c r="AG97" i="4"/>
  <c r="AG107" i="4"/>
  <c r="AG117" i="4"/>
  <c r="AJ117" i="4" s="1"/>
  <c r="AF25" i="4"/>
  <c r="AG25" i="4"/>
  <c r="AJ25" i="4" s="1"/>
  <c r="AG6" i="4"/>
  <c r="AJ6" i="4" s="1"/>
  <c r="AF13" i="4"/>
  <c r="AG13" i="4"/>
  <c r="AJ13" i="4" s="1"/>
  <c r="AG26" i="4"/>
  <c r="AJ26" i="4" s="1"/>
  <c r="AF33" i="4"/>
  <c r="AG33" i="4"/>
  <c r="AJ33" i="4" s="1"/>
  <c r="AG46" i="4"/>
  <c r="AF53" i="4"/>
  <c r="AG53" i="4"/>
  <c r="AI53" i="4" s="1"/>
  <c r="AG66" i="4"/>
  <c r="AF73" i="4"/>
  <c r="AG73" i="4"/>
  <c r="AG80" i="4"/>
  <c r="AJ80" i="4" s="1"/>
  <c r="AG88" i="4"/>
  <c r="AJ88" i="4" s="1"/>
  <c r="AG98" i="4"/>
  <c r="AJ98" i="4" s="1"/>
  <c r="AG108" i="4"/>
  <c r="AJ108" i="4" s="1"/>
  <c r="AG118" i="4"/>
  <c r="AG128" i="4"/>
  <c r="AJ128" i="4" s="1"/>
  <c r="AG20" i="4"/>
  <c r="AJ20" i="4" s="1"/>
  <c r="AF27" i="4"/>
  <c r="AG27" i="4"/>
  <c r="AJ27" i="4" s="1"/>
  <c r="AG67" i="4"/>
  <c r="AG81" i="4"/>
  <c r="AG119" i="4"/>
  <c r="AJ119" i="4" s="1"/>
  <c r="AG129" i="4"/>
  <c r="AF40" i="4"/>
  <c r="AG47" i="4"/>
  <c r="AG14" i="4"/>
  <c r="AF21" i="4"/>
  <c r="AG21" i="4"/>
  <c r="AJ21" i="4" s="1"/>
  <c r="AG34" i="4"/>
  <c r="AJ34" i="4" s="1"/>
  <c r="AF41" i="4"/>
  <c r="AI41" i="4" s="1"/>
  <c r="AG41" i="4"/>
  <c r="AG54" i="4"/>
  <c r="AJ54" i="4" s="1"/>
  <c r="AF61" i="4"/>
  <c r="AG61" i="4"/>
  <c r="AG74" i="4"/>
  <c r="AG90" i="4"/>
  <c r="AJ90" i="4" s="1"/>
  <c r="AG110" i="4"/>
  <c r="AJ110" i="4" s="1"/>
  <c r="AG120" i="4"/>
  <c r="AG130" i="4"/>
  <c r="AJ130" i="4" s="1"/>
  <c r="AJ44" i="4"/>
  <c r="AJ8" i="4"/>
  <c r="AJ28" i="4"/>
  <c r="AJ68" i="4"/>
  <c r="AJ62" i="4"/>
  <c r="AJ83" i="4"/>
  <c r="AJ64" i="4"/>
  <c r="AJ42" i="4"/>
  <c r="AJ16" i="4"/>
  <c r="AJ24" i="4"/>
  <c r="AJ18" i="4"/>
  <c r="AJ46" i="4"/>
  <c r="AI46" i="4"/>
  <c r="AJ66" i="4"/>
  <c r="AJ72" i="4"/>
  <c r="AJ60" i="4"/>
  <c r="AJ14" i="4"/>
  <c r="AJ74" i="4"/>
  <c r="AF14" i="4"/>
  <c r="AI14" i="4" s="1"/>
  <c r="AJ17" i="4"/>
  <c r="AF8" i="4"/>
  <c r="AI8" i="4" s="1"/>
  <c r="AI11" i="4"/>
  <c r="AF38" i="4"/>
  <c r="AJ41" i="4"/>
  <c r="AF48" i="4"/>
  <c r="AF68" i="4"/>
  <c r="AI68" i="4" s="1"/>
  <c r="AF82" i="4"/>
  <c r="AI82" i="4" s="1"/>
  <c r="AF12" i="4"/>
  <c r="AI12" i="4" s="1"/>
  <c r="AF10" i="4"/>
  <c r="AI10" i="4" s="1"/>
  <c r="AF18" i="4"/>
  <c r="AI18" i="4" s="1"/>
  <c r="AF28" i="4"/>
  <c r="AI28" i="4" s="1"/>
  <c r="AF58" i="4"/>
  <c r="AI58" i="4" s="1"/>
  <c r="AJ61" i="4"/>
  <c r="AJ78" i="4"/>
  <c r="AF78" i="4"/>
  <c r="AI78" i="4" s="1"/>
  <c r="AJ86" i="4"/>
  <c r="AF86" i="4"/>
  <c r="AJ91" i="4"/>
  <c r="AF91" i="4"/>
  <c r="AI91" i="4" s="1"/>
  <c r="AF96" i="4"/>
  <c r="AF101" i="4"/>
  <c r="AJ106" i="4"/>
  <c r="AF106" i="4"/>
  <c r="AI106" i="4" s="1"/>
  <c r="AJ111" i="4"/>
  <c r="AF111" i="4"/>
  <c r="AI111" i="4" s="1"/>
  <c r="AJ116" i="4"/>
  <c r="AF116" i="4"/>
  <c r="AI116" i="4" s="1"/>
  <c r="AJ121" i="4"/>
  <c r="AF121" i="4"/>
  <c r="AI121" i="4" s="1"/>
  <c r="AJ126" i="4"/>
  <c r="AF126" i="4"/>
  <c r="AI126" i="4" s="1"/>
  <c r="AF42" i="4"/>
  <c r="AI42" i="4" s="1"/>
  <c r="AJ45" i="4"/>
  <c r="AF79" i="4"/>
  <c r="AI79" i="4" s="1"/>
  <c r="AF83" i="4"/>
  <c r="AI83" i="4" s="1"/>
  <c r="AF62" i="4"/>
  <c r="AF72" i="4"/>
  <c r="AF87" i="4"/>
  <c r="AG22" i="4"/>
  <c r="AG32" i="4"/>
  <c r="AG52" i="4"/>
  <c r="AF92" i="4"/>
  <c r="AI92" i="4" s="1"/>
  <c r="AJ97" i="4"/>
  <c r="AF97" i="4"/>
  <c r="AI97" i="4" s="1"/>
  <c r="AF102" i="4"/>
  <c r="AJ107" i="4"/>
  <c r="AF107" i="4"/>
  <c r="AI107" i="4" s="1"/>
  <c r="AF112" i="4"/>
  <c r="AF117" i="4"/>
  <c r="AI117" i="4" s="1"/>
  <c r="AJ122" i="4"/>
  <c r="AF122" i="4"/>
  <c r="AJ127" i="4"/>
  <c r="AI127" i="4"/>
  <c r="AF127" i="4"/>
  <c r="AF6" i="4"/>
  <c r="AJ9" i="4"/>
  <c r="AI9" i="4"/>
  <c r="AF16" i="4"/>
  <c r="AI16" i="4" s="1"/>
  <c r="AI19" i="4"/>
  <c r="AF36" i="4"/>
  <c r="AI36" i="4" s="1"/>
  <c r="AF56" i="4"/>
  <c r="AF76" i="4"/>
  <c r="AI76" i="4" s="1"/>
  <c r="AF26" i="4"/>
  <c r="AI29" i="4"/>
  <c r="AF46" i="4"/>
  <c r="AF66" i="4"/>
  <c r="AJ69" i="4"/>
  <c r="AI69" i="4"/>
  <c r="AF80" i="4"/>
  <c r="AF84" i="4"/>
  <c r="AI84" i="4" s="1"/>
  <c r="AF88" i="4"/>
  <c r="AF93" i="4"/>
  <c r="AI98" i="4"/>
  <c r="AF98" i="4"/>
  <c r="AJ103" i="4"/>
  <c r="AI103" i="4"/>
  <c r="AF103" i="4"/>
  <c r="AF108" i="4"/>
  <c r="AF113" i="4"/>
  <c r="AJ118" i="4"/>
  <c r="AF118" i="4"/>
  <c r="AI118" i="4" s="1"/>
  <c r="AJ123" i="4"/>
  <c r="AF123" i="4"/>
  <c r="AI123" i="4" s="1"/>
  <c r="AF128" i="4"/>
  <c r="AF60" i="4"/>
  <c r="AI60" i="4" s="1"/>
  <c r="AJ63" i="4"/>
  <c r="AF20" i="4"/>
  <c r="AJ23" i="4"/>
  <c r="AF50" i="4"/>
  <c r="AI50" i="4" s="1"/>
  <c r="AF70" i="4"/>
  <c r="AJ73" i="4"/>
  <c r="AI73" i="4"/>
  <c r="AG30" i="4"/>
  <c r="AG40" i="4"/>
  <c r="AJ89" i="4"/>
  <c r="AF89" i="4"/>
  <c r="AI89" i="4" s="1"/>
  <c r="AJ94" i="4"/>
  <c r="AF94" i="4"/>
  <c r="AI94" i="4" s="1"/>
  <c r="AJ99" i="4"/>
  <c r="AF99" i="4"/>
  <c r="AI99" i="4" s="1"/>
  <c r="AJ104" i="4"/>
  <c r="AF104" i="4"/>
  <c r="AI104" i="4" s="1"/>
  <c r="AJ109" i="4"/>
  <c r="AF109" i="4"/>
  <c r="AI109" i="4" s="1"/>
  <c r="AJ114" i="4"/>
  <c r="AF114" i="4"/>
  <c r="AI114" i="4" s="1"/>
  <c r="AF119" i="4"/>
  <c r="AI119" i="4" s="1"/>
  <c r="AJ124" i="4"/>
  <c r="AF124" i="4"/>
  <c r="AI124" i="4" s="1"/>
  <c r="AJ129" i="4"/>
  <c r="AF129" i="4"/>
  <c r="AI129" i="4" s="1"/>
  <c r="AJ43" i="4"/>
  <c r="AF24" i="4"/>
  <c r="AI24" i="4" s="1"/>
  <c r="AI27" i="4"/>
  <c r="AF44" i="4"/>
  <c r="AI44" i="4" s="1"/>
  <c r="AJ47" i="4"/>
  <c r="AI47" i="4"/>
  <c r="AF74" i="4"/>
  <c r="AI74" i="4" s="1"/>
  <c r="AJ77" i="4"/>
  <c r="AI77" i="4"/>
  <c r="AJ81" i="4"/>
  <c r="AI81" i="4"/>
  <c r="AJ85" i="4"/>
  <c r="AI85" i="4"/>
  <c r="AF34" i="4"/>
  <c r="AI34" i="4" s="1"/>
  <c r="AF54" i="4"/>
  <c r="AJ57" i="4"/>
  <c r="AI57" i="4"/>
  <c r="AF64" i="4"/>
  <c r="AI64" i="4" s="1"/>
  <c r="AJ67" i="4"/>
  <c r="AI67" i="4"/>
  <c r="AF90" i="4"/>
  <c r="AJ95" i="4"/>
  <c r="AF95" i="4"/>
  <c r="AI95" i="4" s="1"/>
  <c r="AJ100" i="4"/>
  <c r="AF100" i="4"/>
  <c r="AI100" i="4" s="1"/>
  <c r="AJ105" i="4"/>
  <c r="AF105" i="4"/>
  <c r="AI105" i="4" s="1"/>
  <c r="AF110" i="4"/>
  <c r="AJ115" i="4"/>
  <c r="AF115" i="4"/>
  <c r="AI115" i="4" s="1"/>
  <c r="AJ120" i="4"/>
  <c r="AF120" i="4"/>
  <c r="AI120" i="4" s="1"/>
  <c r="AJ125" i="4"/>
  <c r="AF125" i="4"/>
  <c r="AI125" i="4" s="1"/>
  <c r="AF130" i="4"/>
  <c r="AI75" i="4" l="1"/>
  <c r="AI70" i="4"/>
  <c r="AI66" i="4"/>
  <c r="AI86" i="4"/>
  <c r="AI15" i="4"/>
  <c r="AI38" i="4"/>
  <c r="AI6" i="4"/>
  <c r="AI130" i="4"/>
  <c r="AI87" i="4"/>
  <c r="AI37" i="4"/>
  <c r="AI23" i="4"/>
  <c r="AI59" i="4"/>
  <c r="AJ75" i="4"/>
  <c r="AI96" i="4"/>
  <c r="AI51" i="4"/>
  <c r="AI26" i="4"/>
  <c r="AI113" i="4"/>
  <c r="AI21" i="4"/>
  <c r="AI25" i="4"/>
  <c r="AI54" i="4"/>
  <c r="AI35" i="4"/>
  <c r="AI80" i="4"/>
  <c r="AI72" i="4"/>
  <c r="AI93" i="4"/>
  <c r="AI62" i="4"/>
  <c r="AI48" i="4"/>
  <c r="AI61" i="4"/>
  <c r="AI45" i="4"/>
  <c r="AI63" i="4"/>
  <c r="AI20" i="4"/>
  <c r="AI122" i="4"/>
  <c r="AI102" i="4"/>
  <c r="AI31" i="4"/>
  <c r="AI90" i="4"/>
  <c r="AJ53" i="4"/>
  <c r="AI128" i="4"/>
  <c r="AI108" i="4"/>
  <c r="AJ93" i="4"/>
  <c r="AI56" i="4"/>
  <c r="AI112" i="4"/>
  <c r="AI71" i="4"/>
  <c r="AI110" i="4"/>
  <c r="AI33" i="4"/>
  <c r="AI88" i="4"/>
  <c r="AI49" i="4"/>
  <c r="AI39" i="4"/>
  <c r="AI5" i="4"/>
  <c r="AI101" i="4"/>
  <c r="AI13" i="4"/>
  <c r="AI65" i="4"/>
  <c r="AJ52" i="4"/>
  <c r="AI52" i="4"/>
  <c r="AJ32" i="4"/>
  <c r="AI32" i="4"/>
  <c r="AJ22" i="4"/>
  <c r="AI22" i="4"/>
  <c r="AJ40" i="4"/>
  <c r="AI40" i="4"/>
  <c r="AJ30" i="4"/>
  <c r="AI30" i="4"/>
</calcChain>
</file>

<file path=xl/sharedStrings.xml><?xml version="1.0" encoding="utf-8"?>
<sst xmlns="http://schemas.openxmlformats.org/spreadsheetml/2006/main" count="4865" uniqueCount="1542">
  <si>
    <t>Scoring Register (Accounts) - AUTO-SCORED</t>
  </si>
  <si>
    <t>Input columns C to U. Auto-scored V to AE. Total, gating, and tier resolve automatically. Do not overwrite the scoring formulas.</t>
  </si>
  <si>
    <t>Account_ID</t>
  </si>
  <si>
    <t>Name</t>
  </si>
  <si>
    <t>Country</t>
  </si>
  <si>
    <t>Sector</t>
  </si>
  <si>
    <t>Sub-sector</t>
  </si>
  <si>
    <t>Employees</t>
  </si>
  <si>
    <t>Licence Type</t>
  </si>
  <si>
    <t>Ownership Model</t>
  </si>
  <si>
    <t>Funding Stage</t>
  </si>
  <si>
    <t>Last Raise Date</t>
  </si>
  <si>
    <t>BIN Sponsor Name</t>
  </si>
  <si>
    <t>BIN Sponsor Status</t>
  </si>
  <si>
    <t>Incumbent Processor</t>
  </si>
  <si>
    <t>Incumbent Locked</t>
  </si>
  <si>
    <t>Tech Stack Profile</t>
  </si>
  <si>
    <t>Cards In Issue</t>
  </si>
  <si>
    <t>Cards Projected 18mo</t>
  </si>
  <si>
    <t>Multi-Product Roadmap</t>
  </si>
  <si>
    <t>Discovery Source</t>
  </si>
  <si>
    <t>Discovery Date</t>
  </si>
  <si>
    <t>Trigger Notes</t>
  </si>
  <si>
    <t>P1 Sub-sector</t>
  </si>
  <si>
    <t>P2 Size</t>
  </si>
  <si>
    <t>P3 Geo</t>
  </si>
  <si>
    <t>P4 Licence</t>
  </si>
  <si>
    <t>P5 Ownership</t>
  </si>
  <si>
    <t>P6 Triggers</t>
  </si>
  <si>
    <t>P7 Incumbent</t>
  </si>
  <si>
    <t>P8 TechStack</t>
  </si>
  <si>
    <t>P9 Scheme</t>
  </si>
  <si>
    <t>P10 Ambition</t>
  </si>
  <si>
    <t>Total Score</t>
  </si>
  <si>
    <t>Gating Flag</t>
  </si>
  <si>
    <t>Anti-Profile Hit</t>
  </si>
  <si>
    <t>Tier</t>
  </si>
  <si>
    <t>Scoring Rationale</t>
  </si>
  <si>
    <t>Last Scored Date</t>
  </si>
  <si>
    <t>Status</t>
  </si>
  <si>
    <t>Freshsales_Ready</t>
  </si>
  <si>
    <t>Freshsales_ID</t>
  </si>
  <si>
    <t>Card Program Target Date</t>
  </si>
  <si>
    <t>Timing Fit</t>
  </si>
  <si>
    <t>Card Program Category</t>
  </si>
  <si>
    <t>ACC-PL-001</t>
  </si>
  <si>
    <t>Paymove</t>
  </si>
  <si>
    <t>Poland</t>
  </si>
  <si>
    <t>FinTech</t>
  </si>
  <si>
    <t>Payments</t>
  </si>
  <si>
    <t>PI Licence</t>
  </si>
  <si>
    <t>VC-backed</t>
  </si>
  <si>
    <t>Seed</t>
  </si>
  <si>
    <t>TBD</t>
  </si>
  <si>
    <t>No Sponsor, Licensing Suggests Imminent</t>
  </si>
  <si>
    <t>Planning to Launch (No Incumbent Yet)</t>
  </si>
  <si>
    <t>No</t>
  </si>
  <si>
    <t>Cloud-native (AWS/Azure/GCP), API-first, AI signals</t>
  </si>
  <si>
    <t>Unknown</t>
  </si>
  <si>
    <t>Second-pass agent research</t>
  </si>
  <si>
    <t>EUR 2.12M seed 10 Jun 2026; agentic AI payments infrastructure; 600k users, 2k locations; expanding ES/PT/IT</t>
  </si>
  <si>
    <t>Prospect</t>
  </si>
  <si>
    <t>Q2 2027</t>
  </si>
  <si>
    <t>Commercial and B2B</t>
  </si>
  <si>
    <t>ACC-PL-002</t>
  </si>
  <si>
    <t>PragmaGO</t>
  </si>
  <si>
    <t>Lending (SMB)</t>
  </si>
  <si>
    <t>BIN Sponsor Agreement In Place</t>
  </si>
  <si>
    <t>Private</t>
  </si>
  <si>
    <t>Bootstrapped Profitable</t>
  </si>
  <si>
    <t>Cloud modern, Not API-first</t>
  </si>
  <si>
    <t>Yes</t>
  </si>
  <si>
    <t>FT1000 Europe Fastest-Growing 2026 (only Polish financial entry); Q1 embedded finance +35% YoY; expanded ES/HR/RO early 2026</t>
  </si>
  <si>
    <t>Q3 2027</t>
  </si>
  <si>
    <t>ACC-PL-003</t>
  </si>
  <si>
    <t>BanqUP</t>
  </si>
  <si>
    <t>BaaS</t>
  </si>
  <si>
    <t>Existing BIN Sponsor Relationship</t>
  </si>
  <si>
    <t>Feb 2026 Visa strategic partnership (Visa Direct plus Commercial Solutions); iPiD Verification-of-Payee integration; Polish engineering base; SME BaaS focus</t>
  </si>
  <si>
    <t>ACC-PL-004</t>
  </si>
  <si>
    <t>Comperia (Comfino)</t>
  </si>
  <si>
    <t>Listed</t>
  </si>
  <si>
    <t>Listed Stable</t>
  </si>
  <si>
    <t>WSE-listed; new Comperia Pay subsidiary formed; Comfino BNPL +63% YoY Q1 2026; Cashless Fintech Project 2026 nominee</t>
  </si>
  <si>
    <t>Consumer</t>
  </si>
  <si>
    <t>ACC-PL-005</t>
  </si>
  <si>
    <t>Wealthon</t>
  </si>
  <si>
    <t>Series A</t>
  </si>
  <si>
    <t>Vodeno-adjacent</t>
  </si>
  <si>
    <t>Incumbent Unknown</t>
  </si>
  <si>
    <t>First-pass agent research</t>
  </si>
  <si>
    <t>Feb 2025 PLN 531M raise (equity plus Fortress debt); Jul 2025 UniCredit receivables purchase to scale SME book to PLN 1B; Wealthon CARD live</t>
  </si>
  <si>
    <t>Live, Migration Window</t>
  </si>
  <si>
    <t>ACC-PL-006</t>
  </si>
  <si>
    <t>Smartney (Grupa Oney)</t>
  </si>
  <si>
    <t>Lending (Consumer)</t>
  </si>
  <si>
    <t>PE-controlled</t>
  </si>
  <si>
    <t>PE-controlled Stable</t>
  </si>
  <si>
    <t>Oney Group internal</t>
  </si>
  <si>
    <t>25%+ Polish long-term loan market share; 250k+ clients; PLN 1B+ active credit; Cashless Fintech Roku 2026 nominee; card-adjacent lending business</t>
  </si>
  <si>
    <t>Q4 2027</t>
  </si>
  <si>
    <t>ACC-PL-007</t>
  </si>
  <si>
    <t>Spingo</t>
  </si>
  <si>
    <t>EUR 4M seed 2025 led by Finch Capital; AI-driven credit scoring; 24-hour SME loan approvals; top Polish fintechs to watch 2026</t>
  </si>
  <si>
    <t>ACC-PL-008</t>
  </si>
  <si>
    <t>Symmetrical.ai</t>
  </si>
  <si>
    <t>Series A US$18.5M 2022; earned wage access (EWA) provider; card is natural on-demand-payout adjacency (Wagestream/DailyPay pattern); Warsaw engineering hub</t>
  </si>
  <si>
    <t>Disbursement and Payout</t>
  </si>
  <si>
    <t>ACC-PL-009</t>
  </si>
  <si>
    <t>Currency One</t>
  </si>
  <si>
    <t>FX Payments</t>
  </si>
  <si>
    <t>KNF PI licence since Jul 2015, extended to acquiring plus AIS/PIS in 2022; strategic alliance with Przelewy24; long-established Polish FX player</t>
  </si>
  <si>
    <t>ACC-PL-010</t>
  </si>
  <si>
    <t>Autopay (ex-Blue Media)</t>
  </si>
  <si>
    <t>Scheme Participation Visible</t>
  </si>
  <si>
    <t>Blue Media to Autopay rebrand 2024; PCI DSS plus 3DS certified; Click-to-Pay live with Mastercard; Jul 2025 eSIM launch; scope expansion</t>
  </si>
  <si>
    <t>ACC-PL-011</t>
  </si>
  <si>
    <t>LOANDO Group</t>
  </si>
  <si>
    <t>No Licence, BIN Sponsor Engaged</t>
  </si>
  <si>
    <t>Multi-market operations (PL, ES, CZ, UA); 50+ financial partners; 1M+ customers annually; broker to own product evolution potential</t>
  </si>
  <si>
    <t>ACC-PL-012</t>
  </si>
  <si>
    <t>Plenti</t>
  </si>
  <si>
    <t>EUR 3M seed, ~EUR 12M valuation; 200k+ Polish users; social payments / group expenses; card would extend the model</t>
  </si>
  <si>
    <t>ACC-PL-013</t>
  </si>
  <si>
    <t>PayPo</t>
  </si>
  <si>
    <t>200k+ cardholders by mid-2025; offline volumes +11-15% MoM; Mar 2025 offline expansion (accepted wherever Mastercard is); mObywatel in-app verification launched</t>
  </si>
  <si>
    <t>ACC-PL-014</t>
  </si>
  <si>
    <t>XTB</t>
  </si>
  <si>
    <t>Investment Management</t>
  </si>
  <si>
    <t>DiPocket UAB</t>
  </si>
  <si>
    <t>In-house Legacy Processor</t>
  </si>
  <si>
    <t>DiPocket UAB issuer of record; multi-currency virtual Mastercard debit live in PT/CZ; rolling out CEE 2025; card + IKE/IKZE retirement accounts launched 2025; clean DiPocket displacement play</t>
  </si>
  <si>
    <t>ACC-PL-015</t>
  </si>
  <si>
    <t>Nest Bank</t>
  </si>
  <si>
    <t>Banking</t>
  </si>
  <si>
    <t>Digital Banking</t>
  </si>
  <si>
    <t>Credit Institution Licence</t>
  </si>
  <si>
    <t>None (direct scheme)</t>
  </si>
  <si>
    <t>Scheme Principal</t>
  </si>
  <si>
    <t>Legacy Processor (Named)</t>
  </si>
  <si>
    <t>2025 net profit PLN 152M; VP Janusz Mieloszyk named CE Digital Banker of the Year 2025 (Global Retail Banking Innovation Awards); AnaCap-owned; Fiserv incumbent - contract renewal displacement play</t>
  </si>
  <si>
    <t>ACC-PL-016</t>
  </si>
  <si>
    <t>Twisto Polska</t>
  </si>
  <si>
    <t>PE-controlled Growth Mandate</t>
  </si>
  <si>
    <t>Marqeta</t>
  </si>
  <si>
    <t>2023 acquired by Turkey Param group; Param publicly targeting Poland with prepaid cards, SME lending, embedded finance; multi-currency Mastercard live; ownership change usually triggers processor review</t>
  </si>
  <si>
    <t>ACC-PL-017</t>
  </si>
  <si>
    <t>Aasa Polska</t>
  </si>
  <si>
    <t>Live Karta Aasa virtual credit card (PLN 10k limit, 3% cashback for 3 months); Aasa24 app development; Scandinavian-owned Aasa Group; opaque incumbent</t>
  </si>
  <si>
    <t>ACC-PL-018</t>
  </si>
  <si>
    <t>Fenige</t>
  </si>
  <si>
    <t>Scheme Principal Member</t>
  </si>
  <si>
    <t>KNF PI reg IP42/2017; Visa + Mastercard principal member; Jul 2025 EU grant for Settlement Center project; +201% net sales growth 2025</t>
  </si>
  <si>
    <t>ACC-PL-019</t>
  </si>
  <si>
    <t>ITCARD (Planet Pay)</t>
  </si>
  <si>
    <t>None (own scheme licence)</t>
  </si>
  <si>
    <t>Sep 2025 SIBS (Portugal) announced acquisition, pending regulatory approval; 7,000+ POS terminals; full Visa/Mastercard issuing; M&amp;A creates decision window - approach pre-close</t>
  </si>
  <si>
    <t>ACC-PL-020</t>
  </si>
  <si>
    <t>PayU Polska</t>
  </si>
  <si>
    <t>Smaller/Less-known Processor</t>
  </si>
  <si>
    <t>Twisto virtual + physical Mastercard live in Poland; PayU Credit ~$1B volume, 2,500+ merchants; Polish BNPL market $1.74B projected 2025; Prosus parent - decision autonomy on processor selection to verify</t>
  </si>
  <si>
    <t>ACC-PL-021</t>
  </si>
  <si>
    <t>Provident Polska</t>
  </si>
  <si>
    <t>4.5M+ historical customers; PLN 1k-30k credit cards + installment loans; IPF plc parent group London; large Polish operational entity; IPF decision leverage question</t>
  </si>
  <si>
    <t>ACC-PL-022</t>
  </si>
  <si>
    <t>Kanga Exchange</t>
  </si>
  <si>
    <t>Crypto</t>
  </si>
  <si>
    <t>Zen.com</t>
  </si>
  <si>
    <t>MiCA Class 3 CASP granted 18 Jun 2026 via Bank of Latvia, passportable EU-wide; live Kanga Card via Zen.com; 250+ physical exchange kiosks; Polish MiCA law vetoed 3x by President - structural migration under way</t>
  </si>
  <si>
    <t>ACC-PL-023</t>
  </si>
  <si>
    <t>Verestro</t>
  </si>
  <si>
    <t>Multiple (Quicko defunct)</t>
  </si>
  <si>
    <t>Hybrid In-house Solution</t>
  </si>
  <si>
    <t>Quicko licence revoked Jan 2026 - Verestro largest Polish BIN partner offline, actively hunting alternatives; 100k+ Mastercards issued with Quicko in Q1 2024; Mastercard shareholder since 2020; POSITIONING FLAG - potential channel partner or competitor</t>
  </si>
  <si>
    <t>ACC-PL-024</t>
  </si>
  <si>
    <t>EMI Licence</t>
  </si>
  <si>
    <t>None (own BIN)</t>
  </si>
  <si>
    <t>EMI issued by Bank of Lithuania 24 May 2018; BIN-Sponsoring line launched 2025 (Flexee first client, STRABAG/Erste Polska/Coca-Cola HBC downstream); +250 Poland hires 2025; POSITIONING FLAG - potential BaaS competitor, decision authority in Lithuania</t>
  </si>
  <si>
    <t>ACC-PL-025</t>
  </si>
  <si>
    <t>Modivo</t>
  </si>
  <si>
    <t>Retail</t>
  </si>
  <si>
    <t>Ecommerce</t>
  </si>
  <si>
    <t>Unlicensed, No Sponsor</t>
  </si>
  <si>
    <t>Established Private Flat</t>
  </si>
  <si>
    <t>None</t>
  </si>
  <si>
    <t>No Scheme Participation Path</t>
  </si>
  <si>
    <t>No Card Program, No Plan</t>
  </si>
  <si>
    <t>CCC Group current report 58/2025 on MODIVO platform; closed-loop MODIVO gift card across CCC/eobuwie/HalfPrice; live Visa Benefit Program promo; MODIVOclub GOLD cashback tier; open-loop card white space but no licence path yet</t>
  </si>
  <si>
    <t>Unknown / TBD</t>
  </si>
  <si>
    <t>ACC-PL-026</t>
  </si>
  <si>
    <t>Ramp Network</t>
  </si>
  <si>
    <t>FCA crypto registration UK; PL Register of Virtual Currency Activities; MiCA CASP application in progress; 40+ new fiat currencies added; Poland main engineering hub (22 open PL roles Jun 2026); on-ramp providers moving to own cards trend; VERIFICATION-FIRST - Poland decision authority to confirm</t>
  </si>
  <si>
    <t>ACC-PL-027</t>
  </si>
  <si>
    <t>IN1</t>
  </si>
  <si>
    <t>Bootstrapped</t>
  </si>
  <si>
    <t>Quicko (defunct)</t>
  </si>
  <si>
    <t>Post-Quicko fallout; live product "world first card for both fiat and crypto with easy switch"; rails broken since 21 Jan 2026 KNF revocation of Quicko; needs new issuer now; DEFERRED per TXN Dec 2026 GA - approach Q2 2027 for post-bridge check-in</t>
  </si>
  <si>
    <t>Live, Urgent Need</t>
  </si>
  <si>
    <t>ACC-PL-028</t>
  </si>
  <si>
    <t>NovaPay EU</t>
  </si>
  <si>
    <t>Post-Quicko fallout; public customer notice "onboarding of new customers is suspended, and registration, opening new accounts and issuing new cards are currently unavailable"; Ukrainian parent NovaPay 500+; DEFERRED per TXN Dec 2026 GA</t>
  </si>
  <si>
    <t>ACC-CZ-001</t>
  </si>
  <si>
    <t>Partners Banka</t>
  </si>
  <si>
    <t>Czech Republic</t>
  </si>
  <si>
    <t>Czech Republic discovery</t>
  </si>
  <si>
    <t>Public launch March 2024; 2025 target 200k clients + CZK 20bn deposits + CZK 10bn loans; greenfield credit institution built on Tapix partner platform; Partners Financial Services parent (advisor network)</t>
  </si>
  <si>
    <t>ACC-CZ-002</t>
  </si>
  <si>
    <t>Trinity Bank</t>
  </si>
  <si>
    <t>Formerly Moravský peněžní ústav; mobile app launched 2024; publicly stated plan to launch cards in 2025-2026; greenfield card program build - no legacy processor</t>
  </si>
  <si>
    <t>Q4 2026</t>
  </si>
  <si>
    <t>ACC-CZ-003</t>
  </si>
  <si>
    <t>Banka CREDITAS</t>
  </si>
  <si>
    <t>Oct 2024 merger with Max banka; assets +50.6%; 10th-largest Czech bank at 2.57% share; Western European expansion announced; post-merger platform consolidation is natural processor re-evaluation moment</t>
  </si>
  <si>
    <t>ACC-CZ-004</t>
  </si>
  <si>
    <t>Twisto Payments (CZ)</t>
  </si>
  <si>
    <t>Thredd</t>
  </si>
  <si>
    <t>2023 Param acquisition; virtual and physical cards live across CZ, PL, RO with 2.5M customers; historical incumbent GPS (now Thredd) - needs verification post-Param; note: Poland entity separately scored, verify CZ decision authority</t>
  </si>
  <si>
    <t>ACC-CZ-005</t>
  </si>
  <si>
    <t>Air Bank</t>
  </si>
  <si>
    <t>PPF-owned digital bank; Zonky P2P brand fully absorbed; full retail card portfolio; borderline size (700-1061 range across sources)</t>
  </si>
  <si>
    <t>ACC-CZ-006</t>
  </si>
  <si>
    <t>Home Credit Czech</t>
  </si>
  <si>
    <t>EUR 200M EIB agreement 2025 for household energy-efficiency financing; PPF group; mature revolving credit card portfolio; group-level platform refresh cycles create migration windows</t>
  </si>
  <si>
    <t>ACC-CZ-007</t>
  </si>
  <si>
    <t>Cofidis Czech Republic</t>
  </si>
  <si>
    <t>CZ branch of Cofidis SA (Crédit Mutuel Alliance Fédérale); Oct 2024 Magyar Cetelem acquisition extends revolving credit into CEE; decision authority likely France - track only</t>
  </si>
  <si>
    <t>ACC-CZ-008</t>
  </si>
  <si>
    <t>Trisbee</t>
  </si>
  <si>
    <t>9-country expansion in CZ, IT, SK, ES, FR, PT, DE, AT, PE; card acceptance only, no issuing programme disclosed; potential future issuing candidate</t>
  </si>
  <si>
    <t>ACC-CZ-009</t>
  </si>
  <si>
    <t>Portu</t>
  </si>
  <si>
    <t>250,000+ clients; CZK 48bn+ AUM; part of WOOD &amp; Company group; wealthtech card pattern (Trade Republic, Scalable Capital DE); card programme intent speculative but plausible</t>
  </si>
  <si>
    <t>ACC-CZ-010</t>
  </si>
  <si>
    <t>Coinmate</t>
  </si>
  <si>
    <t>Secondary Regime</t>
  </si>
  <si>
    <t>MiCA Class 3 CASP granted by CNB 11 Feb 2026 (first-wave); no confirmed card intent; crypto-linked debit is a common post-MiCA next step</t>
  </si>
  <si>
    <t>ACC-CZ-011</t>
  </si>
  <si>
    <t>Anycoin</t>
  </si>
  <si>
    <t>First-wave MiCA CASP Feb 2026 via CNB; same thesis as Coinmate - crypto-linked cards a natural extension; card intent not confirmed</t>
  </si>
  <si>
    <t>ACC-CZ-012</t>
  </si>
  <si>
    <t>Simplecoin</t>
  </si>
  <si>
    <t>CNB-supervised CASP; MiCA continuity preparation; fiat deposits via CZK/EUR/PLN; sub-scale (10-20 employees) - Priority 3 territory</t>
  </si>
  <si>
    <t>ACC-CZ-013</t>
  </si>
  <si>
    <t>Comgate</t>
  </si>
  <si>
    <t>21,000+ merchants; CZK 53bn annual TPV; direct Visa and Mastercard acquirer since 2023; cross-border acquiring in CZ, SK, PL, HU, RO; no card issuing programme disclosed - potential future settlement/expense card</t>
  </si>
  <si>
    <t>ACC-CZ-014</t>
  </si>
  <si>
    <t>Rohlik Group</t>
  </si>
  <si>
    <t>Series D+</t>
  </si>
  <si>
    <t>$92M venture debt Jan 2025; up to EUR 90M EIB loan; 2000 employees group total (European operations); e-grocery loyalty/subscription card pattern (Ocado, Getir) speculative but the funding is fresh</t>
  </si>
  <si>
    <t>ACC-CZ-015</t>
  </si>
  <si>
    <t>AvaFin Czech (ex-Creamfinance)</t>
  </si>
  <si>
    <t>Rebrand from CreamCredit/Creamfinance to AvaFin; Multitude SE strategic investment; consumer instalment loans live; card issuing adjacent - group HQ Latvia</t>
  </si>
  <si>
    <t>ACC-CZ-016</t>
  </si>
  <si>
    <t>Fidoo</t>
  </si>
  <si>
    <t>Expense Management</t>
  </si>
  <si>
    <t>Czech Republic discovery (added post-review)</t>
  </si>
  <si>
    <t>Corporate expense management platform; part of Direct Group (Czech Republic) - unrelated to Direct Transact (TXN co-founding owner in South Africa); active card program for corporate expense cards</t>
  </si>
  <si>
    <t>ACC-CZ-017</t>
  </si>
  <si>
    <t>Fondee</t>
  </si>
  <si>
    <t>Czech robo-advisor / ETF-based investment platform; founded ~2020 by Jan Hlavsa and Eva Hlavsová; backed by CyberCapital; wealthtech card pattern potential (Trade Republic, Scalable Capital) but not confirmed</t>
  </si>
  <si>
    <t>ACC-RO-001</t>
  </si>
  <si>
    <t>Salt Bank</t>
  </si>
  <si>
    <t>Romania</t>
  </si>
  <si>
    <t>Romania discovery</t>
  </si>
  <si>
    <t>Banca Transilvania subsidiary; 200k+ customers first month; on track to 1M in 3 years; Best Digital Bank FinTech Breakthrough Awards; multicurrency Platinum Debit MC 17 currencies; Engine by Starling core + GFT + AWS; verify BT centralisation risk on processor decisions</t>
  </si>
  <si>
    <t>ACC-RO-002</t>
  </si>
  <si>
    <t>HeyBlu Financial Services</t>
  </si>
  <si>
    <t>Jan 2025 acquisition of Orange Money IFN 100% shares from Orange Romania; eMAG My Wallet powers 2.5M eMAG customers; installment products; PayU/Naspers JV heritage</t>
  </si>
  <si>
    <t>ACC-RO-003</t>
  </si>
  <si>
    <t>xMoney (ex-Twispay)</t>
  </si>
  <si>
    <t>None (own scheme membership)</t>
  </si>
  <si>
    <t>Rebrand from Twispay to xMoney 2025; Jun 2026 stablecoin launch (EURXM, USDXM, RONXM); Visa+MC principal member; MultiversX parent restructuring risk - verify entity health separately before outreach</t>
  </si>
  <si>
    <t>ACC-RO-004</t>
  </si>
  <si>
    <t>NETOPIA Payments</t>
  </si>
  <si>
    <t>EMI Licence In Application</t>
  </si>
  <si>
    <t>Largest RO PSP (~30% online card volume; EUR 2B annually; 25000+ merchants); Jun 2026 new CEO Raluca Micu ex-BNR; PI licence advancing</t>
  </si>
  <si>
    <t>ACC-RO-005</t>
  </si>
  <si>
    <t>Pago</t>
  </si>
  <si>
    <t>Oct 2024 EUR 2.3M SeedBlink round (largest on platform, Mozaik Investments co-invest); 550k MAUs across 3 markets; targeting 6M RO users; expansion to Italy/Poland/Czech Republic</t>
  </si>
  <si>
    <t>ACC-RO-006</t>
  </si>
  <si>
    <t>Libra Internet Bank</t>
  </si>
  <si>
    <t>First RO bank in Mastercard Digital First Card programme; fintech partner bank offering technical accounts + IBANs to EU fintech partners; 2026 revenue $155.7M</t>
  </si>
  <si>
    <t>ACC-RO-007</t>
  </si>
  <si>
    <t>Vista Bank Romania</t>
  </si>
  <si>
    <t>Vista Debit Mastercard contactless (zero-commission online/offline); continuing digital retail push</t>
  </si>
  <si>
    <t>ACC-RO-008</t>
  </si>
  <si>
    <t>Patria Bank</t>
  </si>
  <si>
    <t>Listed on BVB; Patria SecurePay biometric auth; Jan 2026 internet + mobile banking updates for individuals; agri/SME/micro focus</t>
  </si>
  <si>
    <t>ACC-RO-009</t>
  </si>
  <si>
    <t>TBI Credit Romania</t>
  </si>
  <si>
    <t>Aug 2025 EU Commission approval of Advent International acquisition of TBI Bank; Feb 2026 ECB approval; 2.4M customers across BG/RO/GR</t>
  </si>
  <si>
    <t>ACC-RO-010</t>
  </si>
  <si>
    <t>Instant Factoring</t>
  </si>
  <si>
    <t>Nov 2025 EUR 30M cross-border securitization; 2024 EIF-supported RON 5M subordinated loan; SMB factoring lending scaling</t>
  </si>
  <si>
    <t>ACC-RO-011</t>
  </si>
  <si>
    <t>EuPlătesc</t>
  </si>
  <si>
    <t>March 2026 PI licence granted by BNR after 20+ years as processor; new PI licence unlocks direct financial flows - card issuing plausible follow-on</t>
  </si>
  <si>
    <t>ACC-RO-012</t>
  </si>
  <si>
    <t>Mobile Distribution (Un-Doi)</t>
  </si>
  <si>
    <t>2026 BNR PI licence granted; Un-Doi bill/tax/utility payment platform expanding under new PI status</t>
  </si>
  <si>
    <t>Q1 2028</t>
  </si>
  <si>
    <t>ACC-RO-013</t>
  </si>
  <si>
    <t>Symphopay</t>
  </si>
  <si>
    <t>Feb 2026 TheRecursive investor watch list; payments orchestration platform; RO-HQ Bucharest since 2015; positions between merchants and banks</t>
  </si>
  <si>
    <t>ACC-RO-014</t>
  </si>
  <si>
    <t>Smart Fintech</t>
  </si>
  <si>
    <t>First BNR-authorised open banking TPP (2021); 2026 growth alongside RO mandatory digital payment acceptance rules; treasury + AISP/PISP focus; sub-20 - Priority 3 territory</t>
  </si>
  <si>
    <t>ACC-RO-015</t>
  </si>
  <si>
    <t>Finqware</t>
  </si>
  <si>
    <t>Early 2026 GRAWE Romania adopted FinqTreasury; FinqPayments launched; open banking treasury automation; corporate spend card plausible extension</t>
  </si>
  <si>
    <t>ACC-RO-016</t>
  </si>
  <si>
    <t>Best Credit IFN</t>
  </si>
  <si>
    <t>BNR-authorised IFN since 2014; Q4 2024 OTP Bank financing; 2025 Bondster partnership (first RO NBFI on Bondster); projected 90% cumulative loan volume growth by end 2026</t>
  </si>
  <si>
    <t>ACC-RO-017</t>
  </si>
  <si>
    <t>UP Romania</t>
  </si>
  <si>
    <t>Gift Card</t>
  </si>
  <si>
    <t>Chèque Déjeuner Group RO subsidiary; meal voucher face value raised to 45 lei/day; 2M+ employees RO base; benefit card issuer; decision authority likely Paris HQ</t>
  </si>
  <si>
    <t>ACC-RO-018</t>
  </si>
  <si>
    <t>Edenred Romania</t>
  </si>
  <si>
    <t>Launched first digital meal voucher in RO; Edenred SE parent publicly listed; benefit card issuer; decision authority likely group HQ</t>
  </si>
  <si>
    <t>ACC-RO-019</t>
  </si>
  <si>
    <t>Pluxee Romania</t>
  </si>
  <si>
    <t>Listed with Growth Profile</t>
  </si>
  <si>
    <t>2024 spin-off from Sodexo (Pluxee SE); fresh vendor review opportunity post-spin-off; benefit card issuer; decision authority likely group HQ but fresh cycle creates window</t>
  </si>
  <si>
    <t>ACC-RO-020</t>
  </si>
  <si>
    <t>SelfPay</t>
  </si>
  <si>
    <t>12000+ payment stations across 2000+ localities; wallet top-up and crypto capabilities via terminals; fastest-developing RO software company per Inc. 5000 Europe</t>
  </si>
  <si>
    <t>ACC-HU-001</t>
  </si>
  <si>
    <t>Peak Financial Services</t>
  </si>
  <si>
    <t>Hungary</t>
  </si>
  <si>
    <t>Hungary discovery</t>
  </si>
  <si>
    <t>52 card programmes across 88 countries as of 2026; first HUF prepaid card issuer in CEE (since 2014); LA office opening 2026; Founder Márton Suppan; POSITIONING FLAG - Prometheus Platform is proprietary stack, potential competitor as well as customer</t>
  </si>
  <si>
    <t>ACC-HU-002</t>
  </si>
  <si>
    <t>Barion Payment</t>
  </si>
  <si>
    <t>MNB-authorised full EMI; live e-wallet accepts Visa/Mastercard/Maestro/Electron/Amex; parking + vignette in-app features; own-branded card issuance natural wallet extension</t>
  </si>
  <si>
    <t>ACC-HU-003</t>
  </si>
  <si>
    <t>PastPay (Péntech)</t>
  </si>
  <si>
    <t>EUR 12M Series A led by Platina Capital - largest B2B BNPL raise in CEE; MediaMarkt Hungary pilot (in-store + webshop); cross-border rollout DE/IT/PL/CZ/SK/RO; MNB-regulated PI</t>
  </si>
  <si>
    <t>ACC-HU-004</t>
  </si>
  <si>
    <t>Pay10 EU</t>
  </si>
  <si>
    <t>MNB EMI granted 2 Jul 2026 (freshest EMI in the register); Pay10 App + Pay10 Biz for SMEs launching Q3-Q4 2026; Hungarian subsidiary established 2024 as EU HQ; Indian parent multi-market ambitions</t>
  </si>
  <si>
    <t>Q1 2027</t>
  </si>
  <si>
    <t>ACC-HU-005</t>
  </si>
  <si>
    <t>Instacash</t>
  </si>
  <si>
    <t>MNB Nov 2025 FinTech report featured; 50+ e-commerce integrations; live in HU/SK/CZ; white-label BNPL infrastructure; Solus Capital 2020 investment</t>
  </si>
  <si>
    <t>ACC-HU-006</t>
  </si>
  <si>
    <t>FintechX</t>
  </si>
  <si>
    <t>MBH Fintechlab portfolio; investor mix OTP Startup Partner + Hiventures + Nestholma + MKB Fintechlab; PSD2 AISP/PISP via partner banks; BaaS positioning directly ICP</t>
  </si>
  <si>
    <t>ACC-HU-007</t>
  </si>
  <si>
    <t>BudaPay</t>
  </si>
  <si>
    <t>First HU prepaid card distributor approved by MNB (2013); bespoke prepaid programmes (crypto cards, corporate payroll, co-branded white label) since 2013</t>
  </si>
  <si>
    <t>ACC-HU-008</t>
  </si>
  <si>
    <t>ApPello Banking Software</t>
  </si>
  <si>
    <t>Software vendor for CEE banks; low-code lending suite; potential referral channel to HU/CEE bank customers deploying lending + card products; NOT a direct card issuer</t>
  </si>
  <si>
    <t>ACC-HU-009</t>
  </si>
  <si>
    <t>Cofidis Hungary (Magyar Cofidis Bank)</t>
  </si>
  <si>
    <t>Magyar Cofidis Bank Zrt MNB-licensed; Post-Magyar Cetelem Bank acquisition Oct 2024; Crédit Mutuel Alliance Fédérale ultimate parent; HU decision authority unclear (RO Cofidis already tracked)</t>
  </si>
  <si>
    <t>ACC-DE-001</t>
  </si>
  <si>
    <t>Trade Republic</t>
  </si>
  <si>
    <t>Germany</t>
  </si>
  <si>
    <t>Supplemental discovery (adj geo + Marqeta customer + Use Case: Trading)</t>
  </si>
  <si>
    <t>Europe largest broker; 1M+ cards in first 5 months of 2025; 4M customers on card; live in all MVP markets; Marqeta since H2 2022</t>
  </si>
  <si>
    <t>ACC-UK-001</t>
  </si>
  <si>
    <t>Trading 212</t>
  </si>
  <si>
    <t>United Kingdom</t>
  </si>
  <si>
    <t>212 Card in 20 European countries; cashback programme relaunch 1 Aug 2026; Bulgaria eurozone entry Jan 2026</t>
  </si>
  <si>
    <t>ACC-UK-002</t>
  </si>
  <si>
    <t>Lightyear</t>
  </si>
  <si>
    <t>Series B</t>
  </si>
  <si>
    <t>Supplemental discovery (adj geo + Use Case: Trading)</t>
  </si>
  <si>
    <t>FinTech Company of the Year Baltic FinTech Days 2026; $23M Series B extension; $1B+ AUM; UK/EE dual HQ; 25 European markets</t>
  </si>
  <si>
    <t>ACC-AT-001</t>
  </si>
  <si>
    <t>Bitpanda</t>
  </si>
  <si>
    <t>Austria</t>
  </si>
  <si>
    <t>Series C</t>
  </si>
  <si>
    <t>Bitpanda Card in 26 European countries via Marqeta; MiCA licensed (Austria); Krakow hub established 2020 for stocks/ETFs</t>
  </si>
  <si>
    <t>ACC-UK-003</t>
  </si>
  <si>
    <t>eToro</t>
  </si>
  <si>
    <t>Public 2025 Nasdaq listing; Visa debit card Club tier (UK) with 4% stock cashback expanding EU; London European HQ</t>
  </si>
  <si>
    <t>ACC-EE-001</t>
  </si>
  <si>
    <t>Bolt</t>
  </si>
  <si>
    <t>Estonia</t>
  </si>
  <si>
    <t>Supplemental discovery (adj geo + Use Case: On-Demand)</t>
  </si>
  <si>
    <t>Bolt for Business corporate card 2026; 850+ cities, 50+ countries incl. all MVP markets; Stellantis autonomous partnership 2026; NVIDIA partnership GTC 2026</t>
  </si>
  <si>
    <t>ACC-FI-001</t>
  </si>
  <si>
    <t>Wolt</t>
  </si>
  <si>
    <t>Finland</t>
  </si>
  <si>
    <t>Wolt Benefits payment card launching Summer 2026 - virtual + physical - GREENFIELD PROCESSOR SELECTION WINDOW; DoorDash subsidiary</t>
  </si>
  <si>
    <t>Q3 2026</t>
  </si>
  <si>
    <t>ACC-DK-001</t>
  </si>
  <si>
    <t>Pleo</t>
  </si>
  <si>
    <t>Denmark</t>
  </si>
  <si>
    <t>Enfuce</t>
  </si>
  <si>
    <t>Supplemental discovery (Enfuce customer + Use Case: Expense Mgmt)</t>
  </si>
  <si>
    <t>98,000+ Mastercard cards; migrated to Enfuce EEA + UK; EUR 40M HSBC debt 2025; operating in 16 European countries incl. all MVP markets</t>
  </si>
  <si>
    <t>ACC-UK-004</t>
  </si>
  <si>
    <t>Payhawk</t>
  </si>
  <si>
    <t>None (own licence)</t>
  </si>
  <si>
    <t>Supplemental discovery (adj geo + Use Case: Expense Mgmt)</t>
  </si>
  <si>
    <t>$2B valuation talks Jan 2026 with $100M+ raise; 32-country presence; Sofia engineering ops (Bulgaria); own FCA EMI licence</t>
  </si>
  <si>
    <t>ACC-FR-001</t>
  </si>
  <si>
    <t>Spendesk</t>
  </si>
  <si>
    <t>France</t>
  </si>
  <si>
    <t>Supplemental discovery (Use Case: Expense Mgmt)</t>
  </si>
  <si>
    <t>AI-native repositioning 2026 with autonomous AI agents + MCP integration; France, UK, Germany, Spain operations</t>
  </si>
  <si>
    <t>ACC-DE-002</t>
  </si>
  <si>
    <t>Moss</t>
  </si>
  <si>
    <t>EUR 50M HSBC debt facility 2024; UK FCA e-money passporting active; DACH + UK footprint</t>
  </si>
  <si>
    <t>ACC-DE-003</t>
  </si>
  <si>
    <t>Pliant</t>
  </si>
  <si>
    <t>Supplemental discovery (Use Case: Expense Mgmt + Chargecard)</t>
  </si>
  <si>
    <t>$40M Series B Apr 2025; triple-digit revenue growth; 3,500 businesses across Europe; corporate credit card + expense</t>
  </si>
  <si>
    <t>ACC-UK-005</t>
  </si>
  <si>
    <t>Soldo</t>
  </si>
  <si>
    <t>FCA (UK) + Soldo Financial Services Ireland DAC (EEA passporting); Mastercard prepaid programme; UK/IT footprint</t>
  </si>
  <si>
    <t>ACC-FR-002</t>
  </si>
  <si>
    <t>Qonto</t>
  </si>
  <si>
    <t>None (Treezor ownership)</t>
  </si>
  <si>
    <t>Supplemental discovery (Use Case: Digital Bank + Expense Mgmt)</t>
  </si>
  <si>
    <t>AI-native repositioning 2026 (The Operator, The Analyst agents); 600k businesses; Paris, Berlin, Milan, Barcelona, Belgrade</t>
  </si>
  <si>
    <t>ACC-DE-004</t>
  </si>
  <si>
    <t>Vivid Money</t>
  </si>
  <si>
    <t>Supplemental discovery (Use Case: Expense Mgmt + Digital Bank)</t>
  </si>
  <si>
    <t>Card acquiring + tax + travel + terminals launched 2026; Solaris incumbent historical - well-known switch pressure; 2x SME target 2026</t>
  </si>
  <si>
    <t>ACC-SE-001</t>
  </si>
  <si>
    <t>Juni</t>
  </si>
  <si>
    <t>Sweden</t>
  </si>
  <si>
    <t>Supplemental discovery (Use Case: Media Buying + Expense Mgmt)</t>
  </si>
  <si>
    <t>$206M funding; Google Ads integration; only clean EEA fit for Media Buying use case; ecommerce + digital advertising spend focus</t>
  </si>
  <si>
    <t>ACC-UK-006</t>
  </si>
  <si>
    <t>Airwallex</t>
  </si>
  <si>
    <t>£590M UK/EMEA investment 2026-2030; FCA + Dutch e-money licence; multi-currency corporate cards; credit card launch planned</t>
  </si>
  <si>
    <t>ACC-UK-007</t>
  </si>
  <si>
    <t>Yonder</t>
  </si>
  <si>
    <t>Supplemental discovery (Use Case: Credit/Chargecard)</t>
  </si>
  <si>
    <t>£23.4M funding round with explicit EU launch mandate by end-2026; rewards-led consumer credit card; rare EU-bound rewards specialist</t>
  </si>
  <si>
    <t>ACC-UK-008</t>
  </si>
  <si>
    <t>Zilch</t>
  </si>
  <si>
    <t>None (direct scheme via Visa)</t>
  </si>
  <si>
    <t>Supplemental discovery (adj geo + Use Case: Credit/BNPL)</t>
  </si>
  <si>
    <t>$175M raise Jan 2026; Fjord Bank (Lithuania) acquisition for ECB licence closing H2 2026 - MVP-adjacent Baltic presence; switched Mastercard to Visa June 2025</t>
  </si>
  <si>
    <t>ACC-GR-001</t>
  </si>
  <si>
    <t>Snappi</t>
  </si>
  <si>
    <t>Greece</t>
  </si>
  <si>
    <t>Paymentology</t>
  </si>
  <si>
    <t>Supplemental discovery (Paymentology customer + Use Case: Digital Bank)</t>
  </si>
  <si>
    <t>First ECB-licensed Greek neobank; scaling phase 2026 with Paymentology; virtual + physical cards, SEPA rails, IBAN accounts; Phase 1a anchor account</t>
  </si>
  <si>
    <t>ACC-FR-003</t>
  </si>
  <si>
    <t>ID DISTRIBUTION (Vaziva)</t>
  </si>
  <si>
    <t>Supplemental discovery (Thredd customer + Use Case: Expense Mgmt)</t>
  </si>
  <si>
    <t>Thredd partnership extended to 2030 announced Jun 2026; corporate card programme launching 2026; Spain (P1a) launch imminent</t>
  </si>
  <si>
    <t>ACC-UK-009</t>
  </si>
  <si>
    <t>Caxton</t>
  </si>
  <si>
    <t>Supplemental discovery (Thredd customer + Use Case: OTA + Expense Mgmt)</t>
  </si>
  <si>
    <t>Thredd partnership since 2020; multi-currency travel + expense cards physical + virtual; payroll + business expense expansion</t>
  </si>
  <si>
    <t>ACC-UK-010</t>
  </si>
  <si>
    <t>ANNA Money</t>
  </si>
  <si>
    <t>Episode Six</t>
  </si>
  <si>
    <t>Supplemental discovery (Episode Six customer + Use Case: SMB Digital Bank)</t>
  </si>
  <si>
    <t>Fresh 2025 migration to Episode Six for SME business debit card scalability; savings account launch May 2026</t>
  </si>
  <si>
    <t>ACC-SE-002</t>
  </si>
  <si>
    <t>Rocker</t>
  </si>
  <si>
    <t>Supplemental discovery (Enfuce customer + Use Case: Digital Bank)</t>
  </si>
  <si>
    <t>100,000+ Visa prepaid + biometric cards; Enfuce customer since 2020; Nordic neobank; category-based budgeting</t>
  </si>
  <si>
    <t>ACC-PL-029</t>
  </si>
  <si>
    <t>eSky Group</t>
  </si>
  <si>
    <t>Supplemental discovery (Use Case: OTA - Poland-native miss)</t>
  </si>
  <si>
    <t>Rare Polish-native OTA of scale (flights, hotels, packages); classic virtual-card issuance greenfield for supplier settlement per Vision use case; Katowice HQ</t>
  </si>
  <si>
    <t>ACC-DE-005</t>
  </si>
  <si>
    <t>Rally</t>
  </si>
  <si>
    <t>Gap-driven discovery (Vertical: Fleet &amp; Fuel)</t>
  </si>
  <si>
    <t>Y Combinator W25 cohort; $500K seed 2025; live single card for fuel + EV charging + parking with real-time controls; below ICP floor of 10 employees - watch-list until they cross Series A</t>
  </si>
  <si>
    <t>Vertical-specialist</t>
  </si>
  <si>
    <t>ACC-DE-006</t>
  </si>
  <si>
    <t>ryd</t>
  </si>
  <si>
    <t>AXA / BP Ventures backed; live app-based digital fleet card across DE/AT/CH/NL/BE/LU/PT; 5,000+ DE stations, 160,000+ EV points; Moss partnership 2025 for business fuel</t>
  </si>
  <si>
    <t>ACC-UK-011</t>
  </si>
  <si>
    <t>Paua Tech</t>
  </si>
  <si>
    <t>Live RFID EV fleet card covering 95,000+ UK chargepoints; Paua Reimburse product; Innovate UK grants; EVIES Start-up of the Year 2023; open-loop expansion (Visa Fleet 2.0) is Vision-fit</t>
  </si>
  <si>
    <t>ACC-NL-001</t>
  </si>
  <si>
    <t>Shuttel</t>
  </si>
  <si>
    <t>Netherlands</t>
  </si>
  <si>
    <t>None (Enfuce sponsor)</t>
  </si>
  <si>
    <t>Gap-driven discovery (Vertical: Fleet &amp; Fuel + Mobility)</t>
  </si>
  <si>
    <t>VW Financial Services + Pon owned; live open-loop Visa Fleet 2.0 mobility card launched Jun 2025 with Enfuce; ENFUCE incumbent - competitive displacement target</t>
  </si>
  <si>
    <t>ACC-UK-012</t>
  </si>
  <si>
    <t>Rightcharge</t>
  </si>
  <si>
    <t>Gap-driven discovery (Vertical: Fleet &amp; Fuel EV)</t>
  </si>
  <si>
    <t>EUR 1.8M seed round Oct 2025 for European expansion; EV charging payments and reimbursement for fleets; pre-issuer selection window - greenfield engagement</t>
  </si>
  <si>
    <t>ACC-CZ-018</t>
  </si>
  <si>
    <t>Eurowag</t>
  </si>
  <si>
    <t>Gap-driven discovery (Vertical: Trucking/Logistics)</t>
  </si>
  <si>
    <t>LSE-listed FTSE 250; pan-European HGV fuel + toll card business; one of the big three EU trucking payment platforms alongside DKV and UTA; MVP-market CZ HQ; consolidating from acquisitions</t>
  </si>
  <si>
    <t>ACC-IT-001</t>
  </si>
  <si>
    <t>Powy Energy</t>
  </si>
  <si>
    <t>Italy</t>
  </si>
  <si>
    <t>Gap-driven discovery (Vertical: Mobility EV)</t>
  </si>
  <si>
    <t>Turin-based EV CPO scaling in IT/ES; Powy Charge app launched 2025; AFIR 2027 deadline creates open-loop card acceptance pressure</t>
  </si>
  <si>
    <t>ACC-DE-007</t>
  </si>
  <si>
    <t>HeyCharge</t>
  </si>
  <si>
    <t>BMW i Ventures backed; offline SecureCharge for multi-unit residential and fleet depots; EUR 2.5M EIC Accelerator grant Feb 2026; AFIR-ready payment layer is Vision-fit extension</t>
  </si>
  <si>
    <t>ACC-DK-002</t>
  </si>
  <si>
    <t>Monta</t>
  </si>
  <si>
    <t>European EV charging orchestrator across DACH + Nordics + UK; currently multi-EMSP roaming via Hubject/Gireve; scale to consider proprietary card issuance for fleet/consumer</t>
  </si>
  <si>
    <t>ACC-SE-003</t>
  </si>
  <si>
    <t>EasyPark Group</t>
  </si>
  <si>
    <t>Gap-driven discovery (Vertical: Mobility parking + transit)</t>
  </si>
  <si>
    <t>Post-Parkopedia (Feb 2025) and Flowbird (Jan 2025) acquisitions; 6,000+ cities across 80+ countries; 50M+ ANPR/LPR transactions in 2025; expanding to EV charging; consolidation triggers multi-market issuer processor need</t>
  </si>
  <si>
    <t>ACC-BE-001</t>
  </si>
  <si>
    <t>Mbrella</t>
  </si>
  <si>
    <t>Belgium</t>
  </si>
  <si>
    <t>Gap-driven discovery (Vertical: Mobility)</t>
  </si>
  <si>
    <t>Belgian mobility budget management with statutory tailwind (uptake still ~3.4%); live mobility card as part of statutory mobility-budget product</t>
  </si>
  <si>
    <t>ACC-LT-001</t>
  </si>
  <si>
    <t>Trafi</t>
  </si>
  <si>
    <t>Lithuania</t>
  </si>
  <si>
    <t>Gap-driven discovery (Vertical: Transit/MaaS)</t>
  </si>
  <si>
    <t>Vilnius-HQ MaaS platform in Berlin/Brussels/Munich/Zurich; acquired by Enghouse Transportation Apr 2025; post-acquisition may re-open payment vendor slot</t>
  </si>
  <si>
    <t>ACC-FI-002</t>
  </si>
  <si>
    <t>MaaS Global</t>
  </si>
  <si>
    <t>Gap-driven discovery (Vertical: Mobility MaaS)</t>
  </si>
  <si>
    <t>MaaS pioneer (Whim); Helsinki HQ; post-bankruptcy recovery + strategic monetisation rethink; watch for capital raise before pitching</t>
  </si>
  <si>
    <t>ACC-BE-002</t>
  </si>
  <si>
    <t>Monizze</t>
  </si>
  <si>
    <t>Gap-driven discovery (Commercial: Employee Benefits)</t>
  </si>
  <si>
    <t>BNB-supervised EMI; Belgium fully-digital meal-voucher card; open-loop Luxembourg expansion with Enfuce Dec 2025; ENFUCE incumbent - competitive displacement target</t>
  </si>
  <si>
    <t>ACC-FR-004</t>
  </si>
  <si>
    <t>Worklife</t>
  </si>
  <si>
    <t>None (Crédit Agricole)</t>
  </si>
  <si>
    <t>Crédit Agricole subsidiary; live all-in-one Mastercard commitment voucher card; growing France meal-voucher share vs Edenred/Pluxee; Vision-fit if seeks external processor for pan-EEA expansion</t>
  </si>
  <si>
    <t>ACC-DE-008</t>
  </si>
  <si>
    <t>HelloBonnie</t>
  </si>
  <si>
    <t>Berlin-based digital multi-benefit smart card; Mastercard-anywhere with configurable brand/region controls; competing with Edenred/Pluxee in German market</t>
  </si>
  <si>
    <t>ACC-BE-003</t>
  </si>
  <si>
    <t>Payflip</t>
  </si>
  <si>
    <t>Ghent-based; live in Belgian EUR 4bn meal-voucher market; fixed-fee pricing model challenging Edenred/Monizze/Pluxee incumbents</t>
  </si>
  <si>
    <t>ACC-UK-013</t>
  </si>
  <si>
    <t>Wagestream</t>
  </si>
  <si>
    <t>Disbursement</t>
  </si>
  <si>
    <t>Modulr</t>
  </si>
  <si>
    <t>Gap-driven discovery (Disbursement: Payroll/EWA)</t>
  </si>
  <si>
    <t>FCA-authorised; EUR 352M Citi debt facility May 2025; 3M employees on platform; live UK/NL/ES/FR/US; Modulr incumbent - displacement candidate as European footprint scales</t>
  </si>
  <si>
    <t>ACC-UK-014</t>
  </si>
  <si>
    <t>Hastee Pay</t>
  </si>
  <si>
    <t>FCA-authorised; live EWA payouts; powers IRIS Earnings on Demand; second-tier UK EWA player; smaller size makes TXN economically attractive</t>
  </si>
  <si>
    <t>ACC-UK-015</t>
  </si>
  <si>
    <t>Openwage</t>
  </si>
  <si>
    <t>UK EWA challenger; lower-cost rollout planned; greenfield engagement candidate at early stage</t>
  </si>
  <si>
    <t>ACC-UK-016</t>
  </si>
  <si>
    <t>B4B Payments</t>
  </si>
  <si>
    <t>None (Banking Circle)</t>
  </si>
  <si>
    <t>Gap-driven discovery (Disbursement: Government + Emergency)</t>
  </si>
  <si>
    <t>FCA EMI; Banking Circle Group subsidiary; CCS FAADS-approved for UK public sector disbursement; disaster relief + virtual gift card programmes; in-house issuer processing on Banking Circle - hard displacement but worth intel</t>
  </si>
  <si>
    <t>ACC-FR-005</t>
  </si>
  <si>
    <t>Welcome.Place</t>
  </si>
  <si>
    <t>Gap-driven discovery (Disbursement: Humanitarian/NGO)</t>
  </si>
  <si>
    <t>French refugee prepaid pilot via Enfuce + Epassi (Visa); community-driven neobank; category-defining humanitarian card operator; ENFUCE incumbent - renewal timing is our opening</t>
  </si>
  <si>
    <t>ACC-EE-002</t>
  </si>
  <si>
    <t>Juuli</t>
  </si>
  <si>
    <t>Gap-driven discovery (Disbursement: Creator/Freelancer)</t>
  </si>
  <si>
    <t>Estonia HQ; live Juuli Visa Corporate Card across EEA for freelancers; no annual fees no credit checks; newly launched card programme creates clear issuer-processor decision cycle</t>
  </si>
  <si>
    <t>ACC-UK-017</t>
  </si>
  <si>
    <t>vHelp</t>
  </si>
  <si>
    <t>Gap-driven discovery (Disbursement: Clinical Trial Stipend)</t>
  </si>
  <si>
    <t>MHRA audit-ready; GDPR-native; live stipend platform paying within 24h; April 2026 UK clinical trial reform tailwind; category otherwise absent from register</t>
  </si>
  <si>
    <t>ACC-UK-018</t>
  </si>
  <si>
    <t>Edenred Payment Solutions UK</t>
  </si>
  <si>
    <t>None (own)</t>
  </si>
  <si>
    <t>Gap-driven discovery (Disbursement: Insurance Claim Payout)</t>
  </si>
  <si>
    <t>FCA EMI; Edenred Group parent (Tier 1 group, but UK EMI subsidiary sits within ICP range operationally); live Virtual Card Number product for insurance claims launched Mar 2025 - category benchmark; competitor-adjacent - log for intel</t>
  </si>
  <si>
    <t>ACC-EE-003</t>
  </si>
  <si>
    <t>Xolo</t>
  </si>
  <si>
    <t>Tallinn HQ; freelancer accounting and payment platform supporting thousands across Europe; EEA passporting; Xoloverse 2025 event; card programme is natural extension</t>
  </si>
  <si>
    <t>ACC-LU-001</t>
  </si>
  <si>
    <t>Mangopay</t>
  </si>
  <si>
    <t>Luxembourg</t>
  </si>
  <si>
    <t>Gap-driven discovery (Disbursement: Marketplace Seller Payout)</t>
  </si>
  <si>
    <t>Luxembourg CSSF EMI; large FR presence; live payin/payout for Vinted, Campanda and other EEA marketplaces; card-issuance capability being extended; upper band ICP - partnership route may be better than outbound displacement</t>
  </si>
  <si>
    <t>TXN GTM Qualification Matrix</t>
  </si>
  <si>
    <t>Version 0.7   |   19 August 2026   |   Owner: I. Johnson</t>
  </si>
  <si>
    <t>Purpose</t>
  </si>
  <si>
    <t>Named Account List register and CRM staging layer for the TXN prospecting motion. Carries the ICP v0.3 Section 8 scoring formulas, tier assignments, contacts, triggers, activities, meetings, and the suppression list. Operates as the operational system of record until Freshsales configuration is complete, then transitions to the scoring engine role while Freshsales owns the operational data.</t>
  </si>
  <si>
    <t>Change log</t>
  </si>
  <si>
    <t>Version</t>
  </si>
  <si>
    <t>Date</t>
  </si>
  <si>
    <t>Description</t>
  </si>
  <si>
    <t>0.1</t>
  </si>
  <si>
    <t>22/04/2026</t>
  </si>
  <si>
    <t>Initial version.</t>
  </si>
  <si>
    <t>0.2</t>
  </si>
  <si>
    <t>01/05/2026</t>
  </si>
  <si>
    <t>Formula corrections; expanded reference tabs.</t>
  </si>
  <si>
    <t>0.3</t>
  </si>
  <si>
    <t>13/07/2026</t>
  </si>
  <si>
    <t>Extended to full CRM staging layer: 06_Activities, 07_Meetings, 08_Suppression_List, 09_Freshsales_Field_Map. Manual P1-P10 score entry.</t>
  </si>
  <si>
    <t>0.4</t>
  </si>
  <si>
    <t>Auto-scoring. 02_Scoring_Register rebuilt with 20 input columns and 10 auto-scoring formulas via VLOOKUPs and nested IFs against a new Scoring_Lookups tab. Added Licence Type, Funding Stage, Last Raise Date, BIN Sponsor Status, Tech Stack Profile, Cards In Issue, Cards Projected 18mo, Multi-Product Roadmap, Incumbent Locked. Incumbent Processor now a dropdown. Scoring Rationale auto-composes from the input plus score of each parameter. Field Map updated to reflect the new inputs and their proposed Freshsales targets.</t>
  </si>
  <si>
    <t>0.6</t>
  </si>
  <si>
    <t>19/08/2026</t>
  </si>
  <si>
    <t>Added Card Program Category input column at AQ. Four canonical categories (Consumer, Commercial and B2B, Disbursement and Payout, Vertical-specialist) per Card-Program-Categories.docx (07_GTM/04_Sales_Motion/Assets/Pipeline/). All 99 existing accounts classified with best-effort primary Category. Additional Categories for accounts running multiple programs captured in Trigger Notes. Owner should validate categorisation before Stage 3.</t>
  </si>
  <si>
    <t>Sheet map</t>
  </si>
  <si>
    <t>Sheet</t>
  </si>
  <si>
    <t>Foreign keys</t>
  </si>
  <si>
    <t>01_Parameter_Reference</t>
  </si>
  <si>
    <t>ICP v0.3 Section 8.1 scoring parameter definitions.</t>
  </si>
  <si>
    <t>02_Scoring_Register</t>
  </si>
  <si>
    <t>Accounts with auto-scored tiers. Input columns C-U; calculated V-AN.</t>
  </si>
  <si>
    <t>None (Account_ID is the primary key)</t>
  </si>
  <si>
    <t>03_Contacts</t>
  </si>
  <si>
    <t>One row per named contact.</t>
  </si>
  <si>
    <t>Account_ID → 02</t>
  </si>
  <si>
    <t>04_Triggers</t>
  </si>
  <si>
    <t>One row per detected trigger event. P6 formula counts against this tab.</t>
  </si>
  <si>
    <t>05_Audit_Log</t>
  </si>
  <si>
    <t>One row per refresh run or material action.</t>
  </si>
  <si>
    <t>06_Activities</t>
  </si>
  <si>
    <t>Per-send log: outbound emails, LinkedIn touches, replies.</t>
  </si>
  <si>
    <t>Account_ID → 02, Contact_ID → 03</t>
  </si>
  <si>
    <t>07_Meetings</t>
  </si>
  <si>
    <t>Scheduled and completed meetings.</t>
  </si>
  <si>
    <t>08_Suppression_List</t>
  </si>
  <si>
    <t>Permanent opt-outs, bounces, GDPR erasures.</t>
  </si>
  <si>
    <t>Contact_ID → 03 (optional)</t>
  </si>
  <si>
    <t>09_Freshsales_Field_Map</t>
  </si>
  <si>
    <t>Column-to-Freshsales field mapping for import.</t>
  </si>
  <si>
    <t>None (reference)</t>
  </si>
  <si>
    <t>Anti_Profile_Reference</t>
  </si>
  <si>
    <t>ICP v0.3 Section 7 anti-profile checklist.</t>
  </si>
  <si>
    <t>Tier_Definitions</t>
  </si>
  <si>
    <t>ICP v0.3 Section 8.3 and 8.4 tier definitions and actions.</t>
  </si>
  <si>
    <t>Scoring_Lookups</t>
  </si>
  <si>
    <t>Keyed lookup tables used by the auto-scoring formulas.</t>
  </si>
  <si>
    <t>Lookups</t>
  </si>
  <si>
    <t>Dropdown source values used across tabs.</t>
  </si>
  <si>
    <t>0.7</t>
  </si>
  <si>
    <t>Added 10_Watch_List tab for very early-stage fintechs (pre-Series-A, pre-launch). Signal-driven, not scored. Populated with 20 candidates from the first monthly scan. Per Prospecting Process v0.6 Section 4.1.5. Promote-to-Prospect trigger criteria per row. Owner reviews weekly; monthly Claude scan runs on first working day of each month.</t>
  </si>
  <si>
    <t>ICP v0.3 Section 8.1 Scoring Parameters</t>
  </si>
  <si>
    <t>Ten parameters, 100 points max. Bands and their point values. Auto-scored from Scoring_Lookups.</t>
  </si>
  <si>
    <t>#</t>
  </si>
  <si>
    <t>Parameter</t>
  </si>
  <si>
    <t>Source</t>
  </si>
  <si>
    <t>Max</t>
  </si>
  <si>
    <t>Band P1</t>
  </si>
  <si>
    <t>Band P2</t>
  </si>
  <si>
    <t>Band P3</t>
  </si>
  <si>
    <t>Band DQ</t>
  </si>
  <si>
    <t>1</t>
  </si>
  <si>
    <t>Sub-sector / Use Case Fit</t>
  </si>
  <si>
    <t>Sec 4.2</t>
  </si>
  <si>
    <t>10: Digital Banking, Neobank</t>
  </si>
  <si>
    <t>7: Expense Mgmt, Lending (SMB/Consumer), BaaS, FX</t>
  </si>
  <si>
    <t>4: Investment Mgmt, Disbursement, Payments, Ecommerce, Retail, Gift Card, Crypto</t>
  </si>
  <si>
    <t>0: Outside listed sub-sectors</t>
  </si>
  <si>
    <t>2</t>
  </si>
  <si>
    <t>Company Size (employees)</t>
  </si>
  <si>
    <t>Sec 4.3</t>
  </si>
  <si>
    <t>10: 50 to 1,000</t>
  </si>
  <si>
    <t>7: 20 to 49 or 1,001 to 2,000</t>
  </si>
  <si>
    <t>4: 10 to 19 or 2,001 to 5,000</t>
  </si>
  <si>
    <t>0: Below 10 or above 5,000</t>
  </si>
  <si>
    <t>3</t>
  </si>
  <si>
    <t>Geography / Region Phase</t>
  </si>
  <si>
    <t>Sec 4.4</t>
  </si>
  <si>
    <t>12: MVP (PL, CZ, RO, HU)</t>
  </si>
  <si>
    <t>8: Phase 1a/1b (ES, PT, GR, NL, BE, AT, UK)</t>
  </si>
  <si>
    <t>5: Rest of EEA</t>
  </si>
  <si>
    <t>0: Outside EEA + UK</t>
  </si>
  <si>
    <t>4</t>
  </si>
  <si>
    <t>Regulatory Licence Status</t>
  </si>
  <si>
    <t>Sec 4.5</t>
  </si>
  <si>
    <t>8: EMI, Credit Institution, Scheme Principal</t>
  </si>
  <si>
    <t>6: PI, EMI Applied, BIN Sponsor In Place</t>
  </si>
  <si>
    <t>3: No Licence + BIN Sponsor Engaged, Secondary Regime</t>
  </si>
  <si>
    <t>0: Unlicensed no Sponsor, Revoked, Sanctions</t>
  </si>
  <si>
    <t>5</t>
  </si>
  <si>
    <t>Ownership and Funding Stage</t>
  </si>
  <si>
    <t>Sec 4.6</t>
  </si>
  <si>
    <t>8: Series B-D last raise &lt;24mo; PE Growth; Listed Growth</t>
  </si>
  <si>
    <t>6: Series A; Bootstrapped Profitable; PE Stable; Series B-D &gt;24mo</t>
  </si>
  <si>
    <t>3: Seed; Bootstrapped; Listed Stable</t>
  </si>
  <si>
    <t>0: Administration, Insolvency, Wind-down</t>
  </si>
  <si>
    <t>6</t>
  </si>
  <si>
    <t>Behavioural / Situational Triggers</t>
  </si>
  <si>
    <t>Sec 5</t>
  </si>
  <si>
    <t>20: Two or more active triggers within 12mo</t>
  </si>
  <si>
    <t>14: One strong (High priority) active trigger</t>
  </si>
  <si>
    <t>7: One weak/historical trigger, or one 12-36mo old</t>
  </si>
  <si>
    <t>0: Incumbent Locked = Yes (multi-year contract signed &lt;12mo)</t>
  </si>
  <si>
    <t>7</t>
  </si>
  <si>
    <t>Incumbent Processor Signal</t>
  </si>
  <si>
    <t>Sec 6</t>
  </si>
  <si>
    <t>8: Marqeta, Paymentology, Thredd, Enfuce, Episode Six, Pismo, Legacy (named), In-house Legacy</t>
  </si>
  <si>
    <t>6: Smaller/less-known processor; Hybrid in-house</t>
  </si>
  <si>
    <t>3: Card program running; incumbent unknown</t>
  </si>
  <si>
    <t>0: No card program</t>
  </si>
  <si>
    <t>8</t>
  </si>
  <si>
    <t>Tech Stack and Engineering</t>
  </si>
  <si>
    <t>6: Cloud-native (AWS/Azure/GCP), API-first, AI signals</t>
  </si>
  <si>
    <t>4: Cloud modern, Not API-first</t>
  </si>
  <si>
    <t>2: Hybrid stack, limited signals</t>
  </si>
  <si>
    <t>0: On-prem or No in-house engineering</t>
  </si>
  <si>
    <t>9</t>
  </si>
  <si>
    <t>Scheme / BIN Sponsor Signal</t>
  </si>
  <si>
    <t>8: Existing BIN Sponsor Relationship; Scheme Principal</t>
  </si>
  <si>
    <t>6: Scheme Participation Visible (Apple/Google Pay, 3DS)</t>
  </si>
  <si>
    <t>3: No Sponsor, Licensing Suggests Imminent</t>
  </si>
  <si>
    <t>0: No Scheme Participation Path</t>
  </si>
  <si>
    <t>10</t>
  </si>
  <si>
    <t>Card Program Scale and Ambition</t>
  </si>
  <si>
    <t>Sec 3, 4</t>
  </si>
  <si>
    <t>10: 500k+ cards or Multi-Product Roadmap</t>
  </si>
  <si>
    <t>7: 100k-500k cards</t>
  </si>
  <si>
    <t>4: 10k-100k cards</t>
  </si>
  <si>
    <t>0: &lt;10k cards or staff-card only</t>
  </si>
  <si>
    <t>Scoring Lookups (used by auto-scoring formulas)</t>
  </si>
  <si>
    <t>Keyed tables referenced by VLOOKUP formulas in 02_Scoring_Register. Do not rename columns or move rows without updating the formulas.</t>
  </si>
  <si>
    <t>P1 Score</t>
  </si>
  <si>
    <t>P3 Score</t>
  </si>
  <si>
    <t>P4 Score</t>
  </si>
  <si>
    <t>P7 Score</t>
  </si>
  <si>
    <t>P8 Score</t>
  </si>
  <si>
    <t>P9 Score</t>
  </si>
  <si>
    <t>Neobank</t>
  </si>
  <si>
    <t>Hybrid stack, limited signals</t>
  </si>
  <si>
    <t>On-prem or No in-house engineering</t>
  </si>
  <si>
    <t>Spain</t>
  </si>
  <si>
    <t>Portugal</t>
  </si>
  <si>
    <t>Pismo</t>
  </si>
  <si>
    <t>Licence Revoked</t>
  </si>
  <si>
    <t>Sanctions Exposure</t>
  </si>
  <si>
    <t>Ireland</t>
  </si>
  <si>
    <t>Norway</t>
  </si>
  <si>
    <t>Iceland</t>
  </si>
  <si>
    <t>Malta</t>
  </si>
  <si>
    <t>Cyprus</t>
  </si>
  <si>
    <t>Slovakia</t>
  </si>
  <si>
    <t>Slovenia</t>
  </si>
  <si>
    <t>Bulgaria</t>
  </si>
  <si>
    <t>Croatia</t>
  </si>
  <si>
    <t>Latvia</t>
  </si>
  <si>
    <t>Liechtenstein</t>
  </si>
  <si>
    <t>Contacts</t>
  </si>
  <si>
    <t>One row per named contact. Account_ID links back to Scoring Register.</t>
  </si>
  <si>
    <t>Contact_ID</t>
  </si>
  <si>
    <t>First Name</t>
  </si>
  <si>
    <t>Last Name</t>
  </si>
  <si>
    <t>Title</t>
  </si>
  <si>
    <t>Role Category</t>
  </si>
  <si>
    <t>Email</t>
  </si>
  <si>
    <t>Email Verified Status</t>
  </si>
  <si>
    <t>LinkedIn URL</t>
  </si>
  <si>
    <t>Personalisation Note</t>
  </si>
  <si>
    <t>Personalisation Source URL</t>
  </si>
  <si>
    <t>Target Message Pillar</t>
  </si>
  <si>
    <t>Sequence Status</t>
  </si>
  <si>
    <t>Reply Status</t>
  </si>
  <si>
    <t>Last Contact Date</t>
  </si>
  <si>
    <t>Triggers</t>
  </si>
  <si>
    <t>One row per detected trigger event. Account_ID links back to Scoring Register. P6 formula counts against this tab.</t>
  </si>
  <si>
    <t>Trigger_ID</t>
  </si>
  <si>
    <t>Trigger Type</t>
  </si>
  <si>
    <t>Trigger Date</t>
  </si>
  <si>
    <t>Source URL</t>
  </si>
  <si>
    <t>Priority</t>
  </si>
  <si>
    <t>Action Taken</t>
  </si>
  <si>
    <t>TRG-PL-001</t>
  </si>
  <si>
    <t>Funding Round</t>
  </si>
  <si>
    <t>EUR 2.12M seed round closed, led by 4growth VC with Kogito Ventures</t>
  </si>
  <si>
    <t>https://www.therecursive.com/polish-paymove-seed-funding-payment-infrastructure-ai-agents/</t>
  </si>
  <si>
    <t>High</t>
  </si>
  <si>
    <t>Logged for scoring</t>
  </si>
  <si>
    <t>TRG-PL-002</t>
  </si>
  <si>
    <t>New Market Entry</t>
  </si>
  <si>
    <t>European expansion announced to Spain, Portugal, Italy</t>
  </si>
  <si>
    <t>https://www.eu-startups.com/2026/06/polish-fintech-paymove-secures-e2-12-million-to-drive-european-expansion</t>
  </si>
  <si>
    <t>Medium</t>
  </si>
  <si>
    <t>TRG-PL-003</t>
  </si>
  <si>
    <t>Expanded to Croatia, Spain, Romania early 2026</t>
  </si>
  <si>
    <t>https://smebanking.club/polish-sme-lending-fintech-pragmago-expands-into-croatia/</t>
  </si>
  <si>
    <t>TRG-PL-004</t>
  </si>
  <si>
    <t>Other</t>
  </si>
  <si>
    <t>Named to FT1000 Europe Fastest-Growing Companies 2026 (only Polish financial sector entry)</t>
  </si>
  <si>
    <t>https://inwestor.pragmago.com/wyniki_finansowe-en/pragmago-grows-embedded-finance-at-35-y-y-rate-in-q1-2026/</t>
  </si>
  <si>
    <t>TRG-PL-005</t>
  </si>
  <si>
    <t>Q1 2026 embedded finance revenue +35% YoY reported</t>
  </si>
  <si>
    <t>TRG-PL-006</t>
  </si>
  <si>
    <t>Feb 2026 Visa strategic partnership announced (Visa Direct plus Commercial Solutions)</t>
  </si>
  <si>
    <t>https://finovate.com/category/banqup/</t>
  </si>
  <si>
    <t>TRG-PL-007</t>
  </si>
  <si>
    <t>New Product Launch</t>
  </si>
  <si>
    <t>iPiD Verification-of-Payee integration launched</t>
  </si>
  <si>
    <t>https://www.banqup.pl/en</t>
  </si>
  <si>
    <t>TRG-PL-008</t>
  </si>
  <si>
    <t>UniCredit receivables purchase agreement announced, scaling SME book to PLN 1B over 3 years</t>
  </si>
  <si>
    <t>https://www.embeddedfinancereview.com/unicredit-funds-wealthons-sme-lending-book-via-vodeno/</t>
  </si>
  <si>
    <t>TRG-PL-009</t>
  </si>
  <si>
    <t>PLN 531M raise closed (equity plus Fortress debt facility)</t>
  </si>
  <si>
    <t>https://ffnews.com/newsarticle/funding/wealthon-secures-pln-531m-to-accelerate-the-expansion-of-unique-financial-services-ecosystem-for-smes/</t>
  </si>
  <si>
    <t>Logged for scoring (historical, 17mo)</t>
  </si>
  <si>
    <t>TRG-PL-010</t>
  </si>
  <si>
    <t>Cashless Fintech Roku 2026 nomination</t>
  </si>
  <si>
    <t>https://www.cashless.pl/18867-cashless-fintech-2026-nominowani</t>
  </si>
  <si>
    <t>Low</t>
  </si>
  <si>
    <t>TRG-PL-011</t>
  </si>
  <si>
    <t>EUR 4M seed round led by Finch Capital</t>
  </si>
  <si>
    <t>https://freenance.io/rankings/best-fintechs-in-poland/</t>
  </si>
  <si>
    <t>TRG-PL-012</t>
  </si>
  <si>
    <t>eSIM-in-banking-app launch</t>
  </si>
  <si>
    <t>https://autopay.pl/baza-wiedzy/aktualnosci/blue-media-rozpoczyna-rebranding-do-marki-autopay</t>
  </si>
  <si>
    <t>TRG-PL-013</t>
  </si>
  <si>
    <t>200,000+ cardholders milestone reached</t>
  </si>
  <si>
    <t>https://www.lendtech.pl/wiadomosci/bnpl/z-karty-paypo-korzysta-juz-ponad-200-tys-klientow/</t>
  </si>
  <si>
    <t>Logged for scoring (historical, 12+mo)</t>
  </si>
  <si>
    <t>TRG-PL-014</t>
  </si>
  <si>
    <t>Offline expansion - PayPo card accepted at Mastercard-accepting merchants</t>
  </si>
  <si>
    <t>https://www.cashless.pl/16910-od-zakupow-online-do-powszechnej-metody-platnosci-jak-karta-paypo-zmienia-rynek-bnpl</t>
  </si>
  <si>
    <t>Logged for scoring (historical, 16mo)</t>
  </si>
  <si>
    <t>TRG-PL-015</t>
  </si>
  <si>
    <t>Multi-currency Mastercard debit plus IKE/IKZE retirement accounts launched</t>
  </si>
  <si>
    <t>https://www.financemagnates.com/forex/brokers/exclusive-xtb-launches-multi-currency-card-and-retirement-accounts/</t>
  </si>
  <si>
    <t>TRG-PL-016</t>
  </si>
  <si>
    <t>CEE rollout of multi-currency card begun</t>
  </si>
  <si>
    <t>https://financialit.net/news/payments/xtb-merged-investing-and-payments-multi-currency-card-now-available-xtb-app</t>
  </si>
  <si>
    <t>TRG-PL-017</t>
  </si>
  <si>
    <t>2025 net profit PLN 151.7M reported</t>
  </si>
  <si>
    <t>https://prnews.pl/wyniki-biznesowe-i-finansowe-nest-banku-za-2025-rok-491057</t>
  </si>
  <si>
    <t>TRG-PL-018</t>
  </si>
  <si>
    <t>VP Janusz Mieloszyk named CE Digital Banker of the Year 2025 at Global Retail Banking Innovation Awards</t>
  </si>
  <si>
    <t>TRG-PL-019</t>
  </si>
  <si>
    <t>Param (Turkey) acquisition of Twisto - post-acquisition Polish market expansion strategy</t>
  </si>
  <si>
    <t>https://www.businesswire.com/news/home/20230816314700/en/Param-Accelerates-European-Expansion-With-Twisto-Acquisition</t>
  </si>
  <si>
    <t>Logged for scoring (historical, 35mo, borderline)</t>
  </si>
  <si>
    <t>TRG-PL-020</t>
  </si>
  <si>
    <t>Regulatory Change</t>
  </si>
  <si>
    <t>EU grant awarded for Settlement Center project</t>
  </si>
  <si>
    <t>https://www.emis.com/php/company-profile/PL/Fenige_SA_en_14791552.html</t>
  </si>
  <si>
    <t>TRG-PL-021</t>
  </si>
  <si>
    <t>+201% net sales growth 2025 reported in annual results</t>
  </si>
  <si>
    <t>TRG-PL-022</t>
  </si>
  <si>
    <t>SIBS (Portugal) announced acquisition of ITCARD, pending regulatory approval - M&amp;A decision window</t>
  </si>
  <si>
    <t>https://www.atmia.com/news/portugals-sibs-to-buy-polish-payments-firm-itcard/23338/</t>
  </si>
  <si>
    <t>TRG-PL-023</t>
  </si>
  <si>
    <t>MiCA Class 3 CASP licence granted via Bank of Latvia, passportable EU-wide</t>
  </si>
  <si>
    <t>https://cointelegraph.com/news/poland-kanga-secures-mica-license-latvia</t>
  </si>
  <si>
    <t>TRG-PL-024</t>
  </si>
  <si>
    <t>Quicko (largest Polish BIN partner) licence revoked by KNF - actively hunting alternatives</t>
  </si>
  <si>
    <t>https://fintelegram.com/zondacrypto-payment-rails-and-the-mica-cliff-a-polish-european-crypto-case-file/</t>
  </si>
  <si>
    <t>TRG-PL-025</t>
  </si>
  <si>
    <t>BIN-Sponsoring line launched (Flexee first client, STRABAG/Erste Polska/Coca-Cola HBC downstream)</t>
  </si>
  <si>
    <t>https://www.zen.com/blog/cards/</t>
  </si>
  <si>
    <t>Logged for scoring (historical, 13mo)</t>
  </si>
  <si>
    <t>TRG-PL-026</t>
  </si>
  <si>
    <t>+250 Poland hires announced across 2025</t>
  </si>
  <si>
    <t>https://xyz.pl/poland-unpacked/zen-com-grows-globally-without-chasing-super-app-status-9242/</t>
  </si>
  <si>
    <t>TRG-PL-027</t>
  </si>
  <si>
    <t>40+ new fiat currencies added to on-ramp product</t>
  </si>
  <si>
    <t>https://ramp.network/blog/40-new-fiat-currencies</t>
  </si>
  <si>
    <t>TRG-PL-028</t>
  </si>
  <si>
    <t>MiCA CASP application filed (1 Jul 2026 transitional deadline)</t>
  </si>
  <si>
    <t>https://rampnetwork.com/about</t>
  </si>
  <si>
    <t>TRG-PL-029</t>
  </si>
  <si>
    <t>Quicko BIN sponsor licence revoked by KNF - card rails broken; needs new issuer</t>
  </si>
  <si>
    <t>https://medium.com/@palach_27021/services-used-by-quicko-sp-z-o-o-are-blocked-trustee-in1-trastra-novapay-cex-io-kauri-3ba97e4000ba</t>
  </si>
  <si>
    <t>Logged for scoring (deferred outreach)</t>
  </si>
  <si>
    <t>TRG-PL-030</t>
  </si>
  <si>
    <t>Quicko BIN sponsor licence revoked by KNF - card issuing suspended per public notice</t>
  </si>
  <si>
    <t>https://novapay.com/</t>
  </si>
  <si>
    <t>TRG-CZ-001</t>
  </si>
  <si>
    <t>Partners Banka digital bank publicly launched with mobile-first debit card from day one</t>
  </si>
  <si>
    <t>https://praguemorning.cz/partners-bank-launch-czechia-2024/</t>
  </si>
  <si>
    <t>Logged for scoring (historical, 28mo)</t>
  </si>
  <si>
    <t>TRG-CZ-002</t>
  </si>
  <si>
    <t>Merger with Max banka completed - 10th-largest CZ bank at 2.57% share, assets +50.6%</t>
  </si>
  <si>
    <t>https://www.creditasgroup.com/en/group-portfolio</t>
  </si>
  <si>
    <t>Logged for scoring (historical, 21mo)</t>
  </si>
  <si>
    <t>TRG-CZ-003</t>
  </si>
  <si>
    <t>Banka CREDITAS Western European expansion announced</t>
  </si>
  <si>
    <t>https://www.creditas.cz/en/blog/banka-creditas-expands-into-western-europe</t>
  </si>
  <si>
    <t>TRG-CZ-004</t>
  </si>
  <si>
    <t>Param (Turkey) acquisition of Twisto - CZ entity part of the regional expansion strategy</t>
  </si>
  <si>
    <t>https://www.retailbankerinternational.com/news/param-acquires-czech-based-bnpl-outfit-twisto/</t>
  </si>
  <si>
    <t>TRG-CZ-005</t>
  </si>
  <si>
    <t>EUR 200M EIB agreement signed for household energy-efficiency financing</t>
  </si>
  <si>
    <t>https://www.homecredit.cz/o-nas</t>
  </si>
  <si>
    <t>TRG-CZ-006</t>
  </si>
  <si>
    <t>Cofidis completed acquisition of Magyar Cetelem Bank - group extending revolving credit into CEE</t>
  </si>
  <si>
    <t>https://www.cofidis-group.com/en/our-subsidiaries/cofidis-czech-republic/</t>
  </si>
  <si>
    <t>TRG-CZ-007</t>
  </si>
  <si>
    <t>MiCA Class 3 CASP authorisation granted by Ceska narodni banka (CNB) - first-wave</t>
  </si>
  <si>
    <t>https://www.cnb.cz/en/supervision-financial-market/lists-registers/</t>
  </si>
  <si>
    <t>TRG-CZ-008</t>
  </si>
  <si>
    <t>First-wave MiCA CASP authorisation granted by CNB</t>
  </si>
  <si>
    <t>TRG-CZ-009</t>
  </si>
  <si>
    <t>Rohlik Group closed $92M venture debt round</t>
  </si>
  <si>
    <t>https://www.rohlik.group/</t>
  </si>
  <si>
    <t>Logged for scoring (historical, 18mo)</t>
  </si>
  <si>
    <t>TRG-CZ-010</t>
  </si>
  <si>
    <t>Up to EUR 90M EIB loan announced</t>
  </si>
  <si>
    <t>TRG-CZ-011</t>
  </si>
  <si>
    <t>Rebrand from CreamCredit/Creamfinance to AvaFin; Multitude SE strategic investment</t>
  </si>
  <si>
    <t>https://www.baltictimes.com/creamcredit_rebranding_to_avafin_-_another_milestone_in_the_development_of_a_leading_player_in_the_loan_industry_/</t>
  </si>
  <si>
    <t>TRG-RO-001</t>
  </si>
  <si>
    <t>Salt Bank digital bank public launch by Banca Transilvania; 200,000+ customers onboarded in first month</t>
  </si>
  <si>
    <t>https://www.retailbankerinternational.com/news/salt-bank-debuts-in-romania/</t>
  </si>
  <si>
    <t>Logged for scoring (historical, 27mo)</t>
  </si>
  <si>
    <t>TRG-RO-002</t>
  </si>
  <si>
    <t>HeyBlu acquisition of Orange Money IFN 100% shares from Orange Romania</t>
  </si>
  <si>
    <t>https://www.romania-insider.com/emag-orange-money-takeover-january-2025</t>
  </si>
  <si>
    <t>TRG-RO-003</t>
  </si>
  <si>
    <t>xMoney stablecoin launch (EURXM, USDXM, RONXM) integrated into card and payment gateway</t>
  </si>
  <si>
    <t>https://multiversx.com/blog/multiversx-and-xmoney</t>
  </si>
  <si>
    <t>TRG-RO-004</t>
  </si>
  <si>
    <t>Executive Change (Product/Eng)</t>
  </si>
  <si>
    <t>Raluca Micu (ex-BNR official) appointed CEO of NETOPIA Payments; advancing PI licence and expanding merchant financial services</t>
  </si>
  <si>
    <t>https://www.romania-insider.com/netopia-payments-raluca-micu-ceo-june-2026</t>
  </si>
  <si>
    <t>TRG-RO-005</t>
  </si>
  <si>
    <t>Pago EUR 2.3M SeedBlink round (largest on platform) with Mozaik Investments co-invest</t>
  </si>
  <si>
    <t>https://www.romania-insider.com/pago-series-a-round-oct-2024</t>
  </si>
  <si>
    <t>TRG-RO-006</t>
  </si>
  <si>
    <t>First Romanian bank enrolled in Mastercard Digital First Card programme</t>
  </si>
  <si>
    <t>https://futurebanking.ro/libra-internet-bank-prima-banca-din-romania-in-programul-digital-first-card</t>
  </si>
  <si>
    <t>TRG-RO-007</t>
  </si>
  <si>
    <t>Patria Bank internet and mobile banking updates for individuals</t>
  </si>
  <si>
    <t>https://www.patriabank.ro/informatii-utile/noutati/ianuarie-2026-noutati-in-internet-mobile-banking-persoane-fizice</t>
  </si>
  <si>
    <t>TRG-RO-008</t>
  </si>
  <si>
    <t>EU Commission approval of Advent International acquisition of TBI Bank (parent of TBI Credit Romania)</t>
  </si>
  <si>
    <t>https://en.wikipedia.org/wiki/TBI_Bank</t>
  </si>
  <si>
    <t>TRG-RO-009</t>
  </si>
  <si>
    <t>ECB approval of Advent acquisition of TBI Bank - transaction close imminent</t>
  </si>
  <si>
    <t>TRG-RO-010</t>
  </si>
  <si>
    <t>Instant Factoring EUR 30M cross-border securitization</t>
  </si>
  <si>
    <t>https://www.romania-insider.com/instant-factoring-financing-structure-smes-nov-2025</t>
  </si>
  <si>
    <t>TRG-RO-011</t>
  </si>
  <si>
    <t>EuPlătesc PI licence granted by BNR after 20+ years as processor</t>
  </si>
  <si>
    <t>https://www.romania-insider.com/euplatesc-payment-institution-bnr-march-2026</t>
  </si>
  <si>
    <t>TRG-RO-012</t>
  </si>
  <si>
    <t>Mobile Distribution PI licence granted by BNR - Un-Doi payment platform expanding</t>
  </si>
  <si>
    <t>https://www.romaniajournal.ro/business/financial/mobile-distribution-gets-bnr-license-expands-un-doi/</t>
  </si>
  <si>
    <t>TRG-RO-013</t>
  </si>
  <si>
    <t>Symphopay named to TheRecursive Feb 2026 investor watch list of RO fintechs</t>
  </si>
  <si>
    <t>https://therecursive.com/5-romanian-fintech-startups-to-watch-according-to-investors/</t>
  </si>
  <si>
    <t>TRG-RO-014</t>
  </si>
  <si>
    <t>FinqPayments launched; GRAWE Romania adopted FinqTreasury</t>
  </si>
  <si>
    <t>https://www.openbankingexpo.com/news/romanias-finqware-launches-finqpayments/</t>
  </si>
  <si>
    <t>TRG-RO-015</t>
  </si>
  <si>
    <t>Best Credit IFN 2025 Bondster partnership - first Romanian NBFI on Bondster</t>
  </si>
  <si>
    <t>https://ffnews.com/newsarticle/romania-steps-into-the-big-league-of-fintech-best-credit-ifn-becomes-the-first-romanian-nbfi-to-partner-with-bondster/</t>
  </si>
  <si>
    <t>TRG-RO-016</t>
  </si>
  <si>
    <t>Pluxee Romania parent Pluxee SE spun off from Sodexo - fresh vendor review opportunity</t>
  </si>
  <si>
    <t>https://media.edenred.com/edenred-romania-launches-first-digital-meal-voucher-romania/</t>
  </si>
  <si>
    <t>Logged for scoring (historical, 26mo)</t>
  </si>
  <si>
    <t>TRG-HU-001</t>
  </si>
  <si>
    <t>Peak Financial Services Los Angeles office opening - continued global expansion of card programme footprint</t>
  </si>
  <si>
    <t>https://peakfs.io/about-us</t>
  </si>
  <si>
    <t>TRG-HU-002</t>
  </si>
  <si>
    <t>Barion Payment parking + vignette in-app features rolled out</t>
  </si>
  <si>
    <t>https://www.barion.com/en/</t>
  </si>
  <si>
    <t>TRG-HU-003</t>
  </si>
  <si>
    <t>PastPay EUR 12M Series A led by Platina Capital - largest B2B BNPL raise in CEE</t>
  </si>
  <si>
    <t>https://siliconcanals.com/pastpay-bags-12m/</t>
  </si>
  <si>
    <t>TRG-HU-004</t>
  </si>
  <si>
    <t>PastPay cross-border rollout into DE, IT, PL, CZ, SK, RO markets; MediaMarkt Hungary pilot</t>
  </si>
  <si>
    <t>TRG-HU-005</t>
  </si>
  <si>
    <t>Pay10 EU EMI licence granted by MNB - Hungarian subsidiary established 2024 as EU HQ</t>
  </si>
  <si>
    <t>https://www.electronicpaymentsinternational.com/news/pay10-secures-hungary-emi-licence-to-launch-eu-operations/</t>
  </si>
  <si>
    <t>TRG-HU-006</t>
  </si>
  <si>
    <t>Instacash featured in MNB Nov 2025 FinTech report as active B2B lending infrastructure vendor</t>
  </si>
  <si>
    <t>https://loginet.com/instacash-bnpl</t>
  </si>
  <si>
    <t>TRG-HU-007</t>
  </si>
  <si>
    <t>Cofidis Group concluded acquisition of Magyar Cetelem Bank - integration workstream may open HU-side decisioning</t>
  </si>
  <si>
    <t>https://www.cofidis-group.com/en/2024/10/01/cofidis-group-concludes-acquisition-of-magyar-cetelem-bank/</t>
  </si>
  <si>
    <t>TRG-DE-001</t>
  </si>
  <si>
    <t>Trade Republic Visa debit card mass rollout - 1M+ cards shipped in first 5 months of 2025</t>
  </si>
  <si>
    <t>https://www.marqeta.com/blog/marqeta-powers-expansion-of-klarna-debit-card-across-europe</t>
  </si>
  <si>
    <t>TRG-UK-001</t>
  </si>
  <si>
    <t>Trading 212 cashback programme relaunch on 212 Card</t>
  </si>
  <si>
    <t>https://www.financemagnates.com/forex/trading-212-taps-marqeta-to-launch-debit-card-in-20-european-countries/</t>
  </si>
  <si>
    <t>Logged for scoring (forward-dated - assume live within scoring window)</t>
  </si>
  <si>
    <t>TRG-UK-002</t>
  </si>
  <si>
    <t>Bulgaria eurozone entry - regulatory environment change affecting Trading 212 Sofia ops</t>
  </si>
  <si>
    <t>https://en.wikipedia.org/wiki/Trading_212</t>
  </si>
  <si>
    <t>TRG-UK-003</t>
  </si>
  <si>
    <t>Lightyear $23M Series B extension; FinTech Company of the Year at Baltic FinTech Days 2026</t>
  </si>
  <si>
    <t>https://tradewithestonia.com/lightyear-baltic-fintech-days-award/</t>
  </si>
  <si>
    <t>TRG-AT-001</t>
  </si>
  <si>
    <t>Bitpanda Card via Marqeta launched across 26 European countries</t>
  </si>
  <si>
    <t>https://investors.marqeta.com/news-releases/news-release-details/marqeta-announces-new-european-leader-sees-rising-demand</t>
  </si>
  <si>
    <t>TRG-UK-004</t>
  </si>
  <si>
    <t>eToro Nasdaq IPO May 2025</t>
  </si>
  <si>
    <t>https://cloud.connect.etoro.com/4-per-feb-2026?lang=en&amp;region=EU</t>
  </si>
  <si>
    <t>TRG-UK-005</t>
  </si>
  <si>
    <t>eToro Club tier EU stock cashback promotion; card expansion across EU</t>
  </si>
  <si>
    <t>TRG-EE-001</t>
  </si>
  <si>
    <t>Bolt for Business corporate card launched</t>
  </si>
  <si>
    <t>https://www.travelandtourworld.com/news/article/skfncyir7haa/</t>
  </si>
  <si>
    <t>TRG-EE-002</t>
  </si>
  <si>
    <t>Stellantis autonomous partnership; NVIDIA partnership at GTC 2026</t>
  </si>
  <si>
    <t>https://en.wikipedia.org/wiki/Bolt_(company)</t>
  </si>
  <si>
    <t>TRG-FI-001</t>
  </si>
  <si>
    <t>Wolt Benefits payment card - virtual + physical - launching Summer 2026 in Finland; GREENFIELD PROCESSOR SELECTION</t>
  </si>
  <si>
    <t>https://www.embeddedfinancereview.com/wolt-launches-employee-benefits-platform-in-finland-with-its-own-payment-card/</t>
  </si>
  <si>
    <t>TRG-UK-006</t>
  </si>
  <si>
    <t>Payhawk $2B valuation talks with $100M+ raise</t>
  </si>
  <si>
    <t>https://tracxn.com/d/companies/payhawk/__f1ty3VAu3qaAWkoGEMy4LrQGnsX2JGBbvPFhT6yaW6E</t>
  </si>
  <si>
    <t>TRG-FR-001</t>
  </si>
  <si>
    <t>Spendesk AI-native repositioning launch - autonomous AI agents plus MCP integration</t>
  </si>
  <si>
    <t>https://www.unifygtm.com/insights-headcount/spendesk</t>
  </si>
  <si>
    <t>TRG-DE-002</t>
  </si>
  <si>
    <t>Pliant $40M Series B; triple-digit revenue growth</t>
  </si>
  <si>
    <t>https://tracxn.com/d/companies/pliant/__ciGetbyLiT9IUYxgEcjRWjRi_YO9lImlozdND3EwgJ0</t>
  </si>
  <si>
    <t>TRG-FR-002</t>
  </si>
  <si>
    <t>Qonto AI-native repositioning; The Operator + The Analyst intelligent agents deployed across 600k businesses</t>
  </si>
  <si>
    <t>https://ffnews.com/newsarticle/paytech/qonto-transforms-into-an-ai-native-fintech-deploying-two-intelligent-agents-across-600000-businesses</t>
  </si>
  <si>
    <t>TRG-UK-007</t>
  </si>
  <si>
    <t>Airwallex £590M UK/EMEA investment commitment 2026-2030; UK hiring from 100 to 160+</t>
  </si>
  <si>
    <t>https://thefintechtimes.com/airwallex-to-inject-590m-into-uk-operations-as-it-targets-emea-expansion/</t>
  </si>
  <si>
    <t>TRG-UK-008</t>
  </si>
  <si>
    <t>Yonder £23.4M funding round with explicit EU-launch mandate by end-2026</t>
  </si>
  <si>
    <t>https://sifted.eu/articles/yonder-raise-exclusive-news</t>
  </si>
  <si>
    <t>TRG-UK-009</t>
  </si>
  <si>
    <t>Zilch $175M raise Jan 2026; Fjord Bank Lithuania acquisition closing H2 2026 for ECB licence</t>
  </si>
  <si>
    <t>https://techfundingnews.com/zilch-fintech-growth-intelligent-commerce/</t>
  </si>
  <si>
    <t>TRG-GR-001</t>
  </si>
  <si>
    <t>Snappi scaling phase with Paymentology; first ECB-licensed Greek neobank</t>
  </si>
  <si>
    <t>https://ffnews.com/newsarticle/paytech/paymentology-supports-the-next-phase-of-growth-for-snappi-greeces-first-ecb-licensed-neobank</t>
  </si>
  <si>
    <t>TRG-FR-003</t>
  </si>
  <si>
    <t>ID DISTRIBUTION (Vaziva) Thredd partnership extended to 2030; corporate card programme launching; Spain launch imminent</t>
  </si>
  <si>
    <t>https://finance.yahoo.com/technology/articles/thredd-expands-partnership-id-distribution-090000739.html</t>
  </si>
  <si>
    <t>TRG-UK-010</t>
  </si>
  <si>
    <t>ANNA Money full card programme migration to Episode Six for SME business debit card scalability</t>
  </si>
  <si>
    <t>https://buzz.episodesix.com/anna-money-taps-episode-six-to-expand-sme-business-debit-card-offering</t>
  </si>
  <si>
    <t>TRG-UK-011</t>
  </si>
  <si>
    <t>ANNA Money savings account launch</t>
  </si>
  <si>
    <t>Rally Y Combinator W25 cohort; $500K seed 2025</t>
  </si>
  <si>
    <t>https://tracxn.com/d/companies/rally/__77C_6jd9q53sPWDCryR74xg_9hnqJgVhLef53_9jS8g</t>
  </si>
  <si>
    <t>Logged for scoring (below ICP floor - watch-list)</t>
  </si>
  <si>
    <t>TRG-DE-003</t>
  </si>
  <si>
    <t>ryd Moss partnership for business fuel; expansion of in-car payment across German OEMs</t>
  </si>
  <si>
    <t>https://fleet.ryd.one/en/</t>
  </si>
  <si>
    <t>TRG-NL-001</t>
  </si>
  <si>
    <t>Shuttel open-loop Visa Fleet 2.0 mobility card launched with Enfuce at Money20/20 Jun 2025</t>
  </si>
  <si>
    <t>https://enfuce.com/press-releases/enfuce-shuttel-open-loop-mobility-card/</t>
  </si>
  <si>
    <t>TRG-UK-012</t>
  </si>
  <si>
    <t>Rightcharge EUR 1.8M seed round for European expansion of fleet EV payments</t>
  </si>
  <si>
    <t>https://www.eu-startups.com/2025/10/london-based-rightcharge-raises-e1-8-million-to-simplify-ev-charging-payments-for-fleets-across-europe/</t>
  </si>
  <si>
    <t>TRG-DE-004</t>
  </si>
  <si>
    <t>HeyCharge EUR 2.5M EIC Accelerator grant to scale offline EV charging</t>
  </si>
  <si>
    <t>https://www.eu-startups.com/2026/02/germanys-heycharge-secures-e2-5-million-eic-grant-to-scale-offline-ev-charging-across-europe/</t>
  </si>
  <si>
    <t>TRG-SE-002</t>
  </si>
  <si>
    <t>EasyPark acquired Parkopedia; consolidation of pan-European mobility platform</t>
  </si>
  <si>
    <t>https://www.digitaltransactions.net/easypark-acquires-rival-parkopedia-and-other-digital-transactions-news-briefs-from-2-14-25/</t>
  </si>
  <si>
    <t>TRG-SE-003</t>
  </si>
  <si>
    <t>EasyPark acquired Flowbird - transit ticketing addition; multi-market issuer processor need</t>
  </si>
  <si>
    <t>TRG-LT-001</t>
  </si>
  <si>
    <t>Trafi acquired by Enghouse Transportation Apr 2025; post-acquisition may re-open payment vendor slot</t>
  </si>
  <si>
    <t>https://www.eu-startups.com/directory/trafi/</t>
  </si>
  <si>
    <t>TRG-BE-001</t>
  </si>
  <si>
    <t>Monizze open-loop Luxembourg expansion with Enfuce - Belgium fully-digital meal voucher partner</t>
  </si>
  <si>
    <t>https://enfuce.com/press-releases/enfuce-enters-belgium-and-luxembourg-with-monizze-to-launch-open-loop-employee-benefit-cards/</t>
  </si>
  <si>
    <t>TRG-UK-013</t>
  </si>
  <si>
    <t>Wagestream EUR 352M Citi debt facility</t>
  </si>
  <si>
    <t>https://www.eu-startups.com/2025/05/british-fintech-startup-wagestream-secures-e352-million-for-fair-financial-services-for-employees/</t>
  </si>
  <si>
    <t>TRG-UK-014</t>
  </si>
  <si>
    <t>April 2026 UK clinical trial reform tailwind aligns to vHelp compliance-heavy stipend platform</t>
  </si>
  <si>
    <t>https://www.vhelp.co.uk/clinical-trials</t>
  </si>
  <si>
    <t>TRG-EE-003</t>
  </si>
  <si>
    <t>Juuli Visa Corporate Card launched across EEA for freelancers</t>
  </si>
  <si>
    <t>https://finance.yahoo.com/news/juuli-launches-visa-corporate-card-172500079.html</t>
  </si>
  <si>
    <t>TRG-UK-015</t>
  </si>
  <si>
    <t>Edenred UK Virtual Card Number product for insurance claims launched Mar 2025</t>
  </si>
  <si>
    <t>https://fintech.global/2025/03/21/edenred-launches-virtual-card-solution-to-accelerate-insurance-claims-payouts/</t>
  </si>
  <si>
    <t>TRG-DE-005</t>
  </si>
  <si>
    <t>HelloBonnie German market rollout of digital multi-benefit smart card</t>
  </si>
  <si>
    <t>https://www.hellobonnie.de/en/blog/employee-benefits-comparison-hellobonnie-vs-edenred-vs-pluxee</t>
  </si>
  <si>
    <t>TRG-IT-001</t>
  </si>
  <si>
    <t>Powy Charge app launched; network expansion in IT and ES</t>
  </si>
  <si>
    <t>https://powy.energy/en/news/press-release/powy-accelerates-growth/</t>
  </si>
  <si>
    <t>Audit Log</t>
  </si>
  <si>
    <t>One row per refresh run or material action by Claude or the Owner.</t>
  </si>
  <si>
    <t>Log_ID</t>
  </si>
  <si>
    <t>Actor</t>
  </si>
  <si>
    <t>Action Type</t>
  </si>
  <si>
    <t>Records Affected</t>
  </si>
  <si>
    <t>Notes</t>
  </si>
  <si>
    <t>Activities</t>
  </si>
  <si>
    <t>Per-send log. Outbound emails, LinkedIn touches, inbound replies, manual notes.</t>
  </si>
  <si>
    <t>Activity_ID</t>
  </si>
  <si>
    <t>Activity Type</t>
  </si>
  <si>
    <t>Sequence Stage</t>
  </si>
  <si>
    <t>Timestamp</t>
  </si>
  <si>
    <t>Subject Line</t>
  </si>
  <si>
    <t>Body Summary</t>
  </si>
  <si>
    <t>Classification</t>
  </si>
  <si>
    <t>Next Action</t>
  </si>
  <si>
    <t>Owner</t>
  </si>
  <si>
    <t>Meetings</t>
  </si>
  <si>
    <t>Meeting_ID</t>
  </si>
  <si>
    <t>Primary_Contact_ID</t>
  </si>
  <si>
    <t>Additional_Contact_IDs</t>
  </si>
  <si>
    <t>Scheduled DateTime</t>
  </si>
  <si>
    <t>Duration (min)</t>
  </si>
  <si>
    <t>Meeting Type</t>
  </si>
  <si>
    <t>Pre-Meeting Brief</t>
  </si>
  <si>
    <t>Meeting Notes</t>
  </si>
  <si>
    <t>Suppression List</t>
  </si>
  <si>
    <t>Permanent opt-outs, bounces, GDPR erasures. Do not contact.</t>
  </si>
  <si>
    <t>Suppression_ID</t>
  </si>
  <si>
    <t>Email or Domain</t>
  </si>
  <si>
    <t>Suppression Type</t>
  </si>
  <si>
    <t>Reason</t>
  </si>
  <si>
    <t>Suppression Date</t>
  </si>
  <si>
    <t>Requesting Contact_ID</t>
  </si>
  <si>
    <t>Freshsales Field Map</t>
  </si>
  <si>
    <t>Column-to-Freshsales field mapping for import. Configure custom fields in Freshsales before running the CSV import.</t>
  </si>
  <si>
    <t>Entity</t>
  </si>
  <si>
    <t>Workbook Column</t>
  </si>
  <si>
    <t>Freshsales Field</t>
  </si>
  <si>
    <t>Field Type</t>
  </si>
  <si>
    <t>Values (for dropdowns)</t>
  </si>
  <si>
    <t>Migration Priority</t>
  </si>
  <si>
    <t>Account</t>
  </si>
  <si>
    <t>(external only, not imported)</t>
  </si>
  <si>
    <t>Text</t>
  </si>
  <si>
    <t>Workbook primary key. Used to maintain relationships during Phase A.</t>
  </si>
  <si>
    <t>Freshsales default field.</t>
  </si>
  <si>
    <t>Dropdown</t>
  </si>
  <si>
    <t>ISO country list</t>
  </si>
  <si>
    <t>Feeds P3 auto-scoring. Values must match Scoring_Lookups tab column D.</t>
  </si>
  <si>
    <t>FinTech, Banking, Financial Services, Retail</t>
  </si>
  <si>
    <t>Custom field.</t>
  </si>
  <si>
    <t>Sub_Sector</t>
  </si>
  <si>
    <t>Digital Banking, Neobank, Expense Management, Lending (SMB), Lending (Consumer), FX Payments, BaaS, Investment Management, Disbursement, Payments, Ecommerce, Retail, Gift Card, Crypto</t>
  </si>
  <si>
    <t>Custom field. Feeds P1 auto-scoring. Values must match Scoring_Lookups tab column A.</t>
  </si>
  <si>
    <t>Number</t>
  </si>
  <si>
    <t>Freshsales default field. Feeds P2 auto-scoring.</t>
  </si>
  <si>
    <t>Licence_Type</t>
  </si>
  <si>
    <t>EMI Licence, Credit Institution Licence, Scheme Principal Member, PI Licence, EMI Licence In Application, BIN Sponsor Agreement In Place, No Licence BIN Sponsor Engaged, Secondary Regime, Unlicensed No Sponsor, Licence Revoked, Sanctions Exposure</t>
  </si>
  <si>
    <t>Custom field. Feeds P4 auto-scoring. Values must match Scoring_Lookups tab column G.</t>
  </si>
  <si>
    <t>Ownership_Model</t>
  </si>
  <si>
    <t>VC-backed, PE-controlled, Listed, Private, Bootstrapped</t>
  </si>
  <si>
    <t>Custom field. Descriptive only; P5 uses Funding Stage.</t>
  </si>
  <si>
    <t>Funding_Stage</t>
  </si>
  <si>
    <t>Series B, Series C, Series D+, Series A, Seed, PE-controlled Growth Mandate, PE-controlled Stable, Listed with Growth Profile, Listed Stable, Bootstrapped Profitable, Bootstrapped, Established Private Flat, Administration/Insolvency, Pending Wind-down, Sanctions Exposure</t>
  </si>
  <si>
    <t>Custom field. Feeds P5 auto-scoring together with Last Raise Date.</t>
  </si>
  <si>
    <t>Last_Raise_Date</t>
  </si>
  <si>
    <t>Custom field. Used to test the &lt;24-month P5 P1 band condition.</t>
  </si>
  <si>
    <t>BIN_Sponsor_Name</t>
  </si>
  <si>
    <t>Custom field. Free text (Paynetics, DiPocket, Modulr, Transact Payments, Enfuce, Railsr, other, none).</t>
  </si>
  <si>
    <t>BIN_Sponsor_Status</t>
  </si>
  <si>
    <t>Existing BIN Sponsor Relationship, Scheme Principal, Scheme Participation Visible, No Sponsor Licensing Suggests Imminent, No Scheme Participation Path</t>
  </si>
  <si>
    <t>Custom field. Feeds P9 auto-scoring. Values must match Scoring_Lookups tab column P.</t>
  </si>
  <si>
    <t>Incumbent_Processor</t>
  </si>
  <si>
    <t>Marqeta, Paymentology, Thredd, Enfuce, Episode Six, Pismo, Legacy Processor (Named), In-house Legacy Processor, Smaller/Less-known Processor, Hybrid In-house Solution, Incumbent Unknown, No Card Program</t>
  </si>
  <si>
    <t>Custom field. Feeds P7 auto-scoring. Values must match Scoring_Lookups tab column J.</t>
  </si>
  <si>
    <t>Incumbent_Locked</t>
  </si>
  <si>
    <t>Yes, No</t>
  </si>
  <si>
    <t>Custom field. Yes forces P6 to 0 (recent multi-year contract with no offsetting trigger).</t>
  </si>
  <si>
    <t>Tech_Stack_Profile</t>
  </si>
  <si>
    <t>Cloud-native (AWS/Azure/GCP) API-first AI signals, Cloud modern Not API-first, Hybrid stack limited signals, On-prem or No in-house engineering</t>
  </si>
  <si>
    <t>Custom field. Feeds P8 auto-scoring.</t>
  </si>
  <si>
    <t>Cards_In_Issue</t>
  </si>
  <si>
    <t>Custom field. Feeds P10 auto-scoring.</t>
  </si>
  <si>
    <t>Cards_Projected_18mo</t>
  </si>
  <si>
    <t>Multi_Product_Roadmap</t>
  </si>
  <si>
    <t>Yes, No, Unknown</t>
  </si>
  <si>
    <t>Custom field. Yes triggers P10 P1 band regardless of card count.</t>
  </si>
  <si>
    <t>Discovery_Source</t>
  </si>
  <si>
    <t>Discovery_Date</t>
  </si>
  <si>
    <t>Trigger_Notes</t>
  </si>
  <si>
    <t>Long text</t>
  </si>
  <si>
    <t>Custom field. Prose summary; individual triggers are in the 04_Triggers tab.</t>
  </si>
  <si>
    <t>P1..P10 Scores</t>
  </si>
  <si>
    <t>Score_P1..Score_P10</t>
  </si>
  <si>
    <t>Number x 10</t>
  </si>
  <si>
    <t>Ten custom fields. Auto-calculated in the workbook; store the values in Freshsales for reporting.</t>
  </si>
  <si>
    <t>Score_Total</t>
  </si>
  <si>
    <t>Custom field. SUM of P1..P10.</t>
  </si>
  <si>
    <t>Gating_Flag</t>
  </si>
  <si>
    <t>OK, DQ Gating, Not scored</t>
  </si>
  <si>
    <t>Custom field. Formula-derived.</t>
  </si>
  <si>
    <t>Anti_Profile_Hit</t>
  </si>
  <si>
    <t>Custom field. Manual judgement call.</t>
  </si>
  <si>
    <t>Priority 1, Priority 2, Priority 3, Disqualified</t>
  </si>
  <si>
    <t>Custom field. Formula-derived from Total Score, Gating, and Anti-Profile.</t>
  </si>
  <si>
    <t>Scoring_Rationale</t>
  </si>
  <si>
    <t>Custom field. Auto-composed breakdown.</t>
  </si>
  <si>
    <t>Last_Scored_Date</t>
  </si>
  <si>
    <t>Stage</t>
  </si>
  <si>
    <t>Prospect, Discovery Scheduled, In Discovery, Qualified, Opportunity, Customer, Dormant, Disqualified</t>
  </si>
  <si>
    <t>Freshsales pipeline stage.</t>
  </si>
  <si>
    <t>(workbook only)</t>
  </si>
  <si>
    <t>Checkbox</t>
  </si>
  <si>
    <t>Not imported.</t>
  </si>
  <si>
    <t>ID</t>
  </si>
  <si>
    <t>Populated post-import.</t>
  </si>
  <si>
    <t>Card_Program_Target_Date</t>
  </si>
  <si>
    <t>Q1 2027, Q2 2027, Q3 2027, Q4 2027, Q1 2028, Q2 2028, Live Migration Window, Live Urgent Need, Unknown/TBD</t>
  </si>
  <si>
    <t>Custom field. Feeds Timing Fit calculation. Reflects when the account needs the card program live, benchmarked against TXN Dec 2026 GA plus normal onboarding.</t>
  </si>
  <si>
    <t>Timing_Fit</t>
  </si>
  <si>
    <t>OK, Watch, Deferred, Not set</t>
  </si>
  <si>
    <t>Custom field. Formula-derived from Card Program Target Date. OK = launch matches TXN availability; Watch = too far out; Deferred = needs rails before TXN GA; Not set = no target date yet.</t>
  </si>
  <si>
    <t>Contact</t>
  </si>
  <si>
    <t>Workbook primary key.</t>
  </si>
  <si>
    <t>(mapped via Account Name)</t>
  </si>
  <si>
    <t>Foreign Key</t>
  </si>
  <si>
    <t>Ensure Account imported first.</t>
  </si>
  <si>
    <t>First_Name</t>
  </si>
  <si>
    <t>Last_Name</t>
  </si>
  <si>
    <t>Role_Category</t>
  </si>
  <si>
    <t>Champion, Economic Buyer, Primary User, Head of Payments, Risk and Compliance, Influencer, Other</t>
  </si>
  <si>
    <t>Email_Verified_Status</t>
  </si>
  <si>
    <t>Unverified, Verified (MX), Verified (test send), Failed, Bounced</t>
  </si>
  <si>
    <t>LinkedIn_URL</t>
  </si>
  <si>
    <t>URL</t>
  </si>
  <si>
    <t>Typically "Sales Navigator" in Phase A.</t>
  </si>
  <si>
    <t>Personalisation_Note</t>
  </si>
  <si>
    <t>Personalisation_Source_URL</t>
  </si>
  <si>
    <t>Target_Message_Pillar</t>
  </si>
  <si>
    <t>Pillar 1..Pillar 5</t>
  </si>
  <si>
    <t>Sequence_Status</t>
  </si>
  <si>
    <t>Not started, In Sequence, Completed, Replied, Bounced, Unsubscribed, Suppressed</t>
  </si>
  <si>
    <t>Reply_Status</t>
  </si>
  <si>
    <t>None, Positive, Objection, Not-Now, Not-Interested, Unsubscribe, Bounce</t>
  </si>
  <si>
    <t>Last_Contact_Date</t>
  </si>
  <si>
    <t>Activity</t>
  </si>
  <si>
    <t>(mapped via Contact Email)</t>
  </si>
  <si>
    <t>Activity_Type</t>
  </si>
  <si>
    <t>Outbound Email, Inbound Reply, LinkedIn Touch, Meeting Note, Manual Note, Bounce Recorded</t>
  </si>
  <si>
    <t>Sequence_Stage</t>
  </si>
  <si>
    <t>Day 1 Introduction, Day 4 Nudge, Day 8 Value-add, Day 15 Angle Change, Day 24 Break-up, LinkedIn Touch, Inbound, Manual, n/a</t>
  </si>
  <si>
    <t>DateTime</t>
  </si>
  <si>
    <t>Subject</t>
  </si>
  <si>
    <t>n/a, Positive, Objection, Not-Now, Not-Interested, Unsubscribe, Bounce, Auto-reply</t>
  </si>
  <si>
    <t>Next_Action</t>
  </si>
  <si>
    <t>Meeting</t>
  </si>
  <si>
    <t>Additional_Attendees</t>
  </si>
  <si>
    <t>Comma-separated</t>
  </si>
  <si>
    <t>Start_Date</t>
  </si>
  <si>
    <t>Duration</t>
  </si>
  <si>
    <t>Meeting_Type</t>
  </si>
  <si>
    <t>Discovery, Follow-up, Demo, Solution Review, Negotiation, Close, Other</t>
  </si>
  <si>
    <t>Scheduled, Completed, No-Show, Cancelled, Rescheduled</t>
  </si>
  <si>
    <t>Pre_Meeting_Brief</t>
  </si>
  <si>
    <t>Suppression</t>
  </si>
  <si>
    <t>Full email or domain (@example.com).</t>
  </si>
  <si>
    <t>Suppression_Type</t>
  </si>
  <si>
    <t>Contact, Domain</t>
  </si>
  <si>
    <t>Unsubscribe, Not-Interested, Bounce, GDPR Erasure, Manual</t>
  </si>
  <si>
    <t>Suppression_Date</t>
  </si>
  <si>
    <t>(reference only)</t>
  </si>
  <si>
    <t>Card_Program_Category</t>
  </si>
  <si>
    <t>Consumer, Commercial and B2B, Disbursement and Payout, Vertical-specialist</t>
  </si>
  <si>
    <t>Custom field. Portfolio-analysis dimension per Card-Program-Categories.docx. Additional categories for multi-program accounts captured in Trigger Notes.</t>
  </si>
  <si>
    <t>Anti-Profile Reference (ICP v0.3 Section 7)</t>
  </si>
  <si>
    <t>Any match on the anti-profile disqualifies the account regardless of aggregate score.</t>
  </si>
  <si>
    <t>Anti-profile category</t>
  </si>
  <si>
    <t>Sub-scale operators (very small card programs in small geographic markets)</t>
  </si>
  <si>
    <t>Cost of sale does not scale.</t>
  </si>
  <si>
    <t>Governments and local governments</t>
  </si>
  <si>
    <t>Includes state-owned enterprises.</t>
  </si>
  <si>
    <t>Tier 1 banks</t>
  </si>
  <si>
    <t>Examples: Barclays, BNP Paribas, HSBC, Deutsche Bank.</t>
  </si>
  <si>
    <t>Petrol retail companies</t>
  </si>
  <si>
    <t>Bespoke fuel card dynamics.</t>
  </si>
  <si>
    <t>Companies looking for bespoke, non-platform-based solutions where IP rests with the customer</t>
  </si>
  <si>
    <t>Companies looking for on-premises hosting</t>
  </si>
  <si>
    <t>Companies reported in the press as having difficulties with any local regulator, or under sanctions exposure</t>
  </si>
  <si>
    <t>Companies with limited capital available for investment and operational expenses</t>
  </si>
  <si>
    <t>Companies in active administration, insolvency, or pending wind-down</t>
  </si>
  <si>
    <t>Tier Definitions and Actions (ICP v0.3 Section 8.3 and 8.4)</t>
  </si>
  <si>
    <t>Aggregate score determines tier subject to gating rules and anti-profile.</t>
  </si>
  <si>
    <t>Score range</t>
  </si>
  <si>
    <t>Additional rules</t>
  </si>
  <si>
    <t>Actions per ICP v0.3 Section 8.4</t>
  </si>
  <si>
    <t>Priority 1 (Tier 1)</t>
  </si>
  <si>
    <t>80 to 100</t>
  </si>
  <si>
    <t>No DQ on any parameter; no anti-profile match</t>
  </si>
  <si>
    <t>ABM campaigns; sustained tailored outbound; inbound treated with high importance and urgency.</t>
  </si>
  <si>
    <t>Priority 2 (Tier 2)</t>
  </si>
  <si>
    <t>60 to 79</t>
  </si>
  <si>
    <t>No DQ on gating parameters; no anti-profile match</t>
  </si>
  <si>
    <t>LinkedIn marketing plus direct email; inbound handled by Sales, high importance.</t>
  </si>
  <si>
    <t>Priority 3 (Tier 3)</t>
  </si>
  <si>
    <t>40 to 59</t>
  </si>
  <si>
    <t>No LinkedIn or direct email marketing; inbound handled by Sales, medium importance.</t>
  </si>
  <si>
    <t>Disqualified</t>
  </si>
  <si>
    <t>Below 40</t>
  </si>
  <si>
    <t>Any gating DQ; any anti-profile match</t>
  </si>
  <si>
    <t>No proactive activity; inbound politely declined or deferred; record retained for re-qualification.</t>
  </si>
  <si>
    <t>Reference for validated dropdown values used across the workbook.</t>
  </si>
  <si>
    <t>Sectors</t>
  </si>
  <si>
    <t>Financial Services</t>
  </si>
  <si>
    <t>Sub-sectors</t>
  </si>
  <si>
    <t>Licence Types</t>
  </si>
  <si>
    <t>Funding Stages</t>
  </si>
  <si>
    <t>Administration/Insolvency</t>
  </si>
  <si>
    <t>Pending Wind-down</t>
  </si>
  <si>
    <t>BIN Sponsor Statuses</t>
  </si>
  <si>
    <t>Incumbent Processors</t>
  </si>
  <si>
    <t>No Card Program</t>
  </si>
  <si>
    <t>Tech Stack Profiles</t>
  </si>
  <si>
    <t>Role Categories</t>
  </si>
  <si>
    <t>Champion</t>
  </si>
  <si>
    <t>Economic Buyer</t>
  </si>
  <si>
    <t>Primary User</t>
  </si>
  <si>
    <t>Head of Payments</t>
  </si>
  <si>
    <t>Risk and Compliance</t>
  </si>
  <si>
    <t>Influencer</t>
  </si>
  <si>
    <t>Tiers</t>
  </si>
  <si>
    <t>Priority 1</t>
  </si>
  <si>
    <t>Priority 2</t>
  </si>
  <si>
    <t>Priority 3</t>
  </si>
  <si>
    <t>Account Stages</t>
  </si>
  <si>
    <t>Discovery Scheduled</t>
  </si>
  <si>
    <t>In Discovery</t>
  </si>
  <si>
    <t>Qualified</t>
  </si>
  <si>
    <t>Opportunity</t>
  </si>
  <si>
    <t>Customer</t>
  </si>
  <si>
    <t>Dormant</t>
  </si>
  <si>
    <t>Trigger Types</t>
  </si>
  <si>
    <t>Incumbent Contract Expiry</t>
  </si>
  <si>
    <t>Incumbent Performance Issue</t>
  </si>
  <si>
    <t>Executive Change (CFO/CEO)</t>
  </si>
  <si>
    <t>Activity Types</t>
  </si>
  <si>
    <t>Outbound Email</t>
  </si>
  <si>
    <t>Inbound Reply</t>
  </si>
  <si>
    <t>LinkedIn Touch</t>
  </si>
  <si>
    <t>Meeting Note</t>
  </si>
  <si>
    <t>Manual Note</t>
  </si>
  <si>
    <t>Bounce Recorded</t>
  </si>
  <si>
    <t>Sequence Stages</t>
  </si>
  <si>
    <t>Day 1 Introduction</t>
  </si>
  <si>
    <t>Day 4 Nudge</t>
  </si>
  <si>
    <t>Day 8 Value-add</t>
  </si>
  <si>
    <t>Day 15 Angle Change</t>
  </si>
  <si>
    <t>Day 24 Break-up</t>
  </si>
  <si>
    <t>Inbound</t>
  </si>
  <si>
    <t>Manual</t>
  </si>
  <si>
    <t>n/a</t>
  </si>
  <si>
    <t>Reply Classifications</t>
  </si>
  <si>
    <t>Positive</t>
  </si>
  <si>
    <t>Objection</t>
  </si>
  <si>
    <t>Not-Now</t>
  </si>
  <si>
    <t>Not-Interested</t>
  </si>
  <si>
    <t>Unsubscribe</t>
  </si>
  <si>
    <t>Bounce</t>
  </si>
  <si>
    <t>Auto-reply</t>
  </si>
  <si>
    <t>Sequence Statuses</t>
  </si>
  <si>
    <t>Not started</t>
  </si>
  <si>
    <t>In Sequence</t>
  </si>
  <si>
    <t>Completed</t>
  </si>
  <si>
    <t>Replied</t>
  </si>
  <si>
    <t>Bounced</t>
  </si>
  <si>
    <t>Unsubscribed</t>
  </si>
  <si>
    <t>Suppressed</t>
  </si>
  <si>
    <t>Email Verified Statuses</t>
  </si>
  <si>
    <t>Unverified</t>
  </si>
  <si>
    <t>Verified (MX)</t>
  </si>
  <si>
    <t>Verified (test send)</t>
  </si>
  <si>
    <t>Failed</t>
  </si>
  <si>
    <t>Meeting Types</t>
  </si>
  <si>
    <t>Discovery</t>
  </si>
  <si>
    <t>Follow-up</t>
  </si>
  <si>
    <t>Demo</t>
  </si>
  <si>
    <t>Solution Review</t>
  </si>
  <si>
    <t>Negotiation</t>
  </si>
  <si>
    <t>Close</t>
  </si>
  <si>
    <t>Meeting Statuses</t>
  </si>
  <si>
    <t>Scheduled</t>
  </si>
  <si>
    <t>No-Show</t>
  </si>
  <si>
    <t>Cancelled</t>
  </si>
  <si>
    <t>Rescheduled</t>
  </si>
  <si>
    <t>Suppression Types</t>
  </si>
  <si>
    <t>Domain</t>
  </si>
  <si>
    <t>Suppression Reasons</t>
  </si>
  <si>
    <t>GDPR Erasure</t>
  </si>
  <si>
    <t>Message Pillars</t>
  </si>
  <si>
    <t>Pillar 1: Launch faster</t>
  </si>
  <si>
    <t>Pillar 2: Focus on customer value</t>
  </si>
  <si>
    <t>Pillar 3: Experiences that delight</t>
  </si>
  <si>
    <t>Pillar 4: Security and resilience</t>
  </si>
  <si>
    <t>Pillar 5: Efficient program management</t>
  </si>
  <si>
    <t>10_Watch_List - Very Early-Stage Fintech Signal Capture</t>
  </si>
  <si>
    <t>Per Prospecting Process v0.6 Section 4.1.5. Signal-driven pre-Prospect pipeline. No auto-scoring. Promote to main Scoring Register when Promote Trigger fires.</t>
  </si>
  <si>
    <t>Watch_ID</t>
  </si>
  <si>
    <t>Company Name</t>
  </si>
  <si>
    <t>Founded</t>
  </si>
  <si>
    <t>HQ Country</t>
  </si>
  <si>
    <t>Employees (est.)</t>
  </si>
  <si>
    <t>Sub-sector (best-guess)</t>
  </si>
  <si>
    <t>Card Program Category (best-guess)</t>
  </si>
  <si>
    <t>Signal Source</t>
  </si>
  <si>
    <t>Signal Detail</t>
  </si>
  <si>
    <t>Signal Date</t>
  </si>
  <si>
    <t>Product Summary</t>
  </si>
  <si>
    <t>Promote Trigger</t>
  </si>
  <si>
    <t>Promote Readiness</t>
  </si>
  <si>
    <t>Owner Review Status</t>
  </si>
  <si>
    <t>Last Reviewed Date</t>
  </si>
  <si>
    <t>Promoted Account_ID</t>
  </si>
  <si>
    <t>WATCH-001</t>
  </si>
  <si>
    <t>Diesta</t>
  </si>
  <si>
    <t>GB</t>
  </si>
  <si>
    <t>Accelerator</t>
  </si>
  <si>
    <t>FinTech Innovation Lab London 2026 cohort</t>
  </si>
  <si>
    <t>B2B SaaS automating premium reconciliation, accounting, and settlement across multi-party insurance payment flows</t>
  </si>
  <si>
    <t>Series A close OR announcement of card issuance for broker/MGA float management</t>
  </si>
  <si>
    <t>https://www.fintechinnovationlab.com/news/london/fintech-innovation-lab-london-2026-meet-the-startups-shaping-the-future-of-financial-services/</t>
  </si>
  <si>
    <t>Not Ready</t>
  </si>
  <si>
    <t>Pending</t>
  </si>
  <si>
    <t>WATCH-002</t>
  </si>
  <si>
    <t>Lumio</t>
  </si>
  <si>
    <t>FinTech Innovation Lab London 2026; Lloyds Bank partnership trial</t>
  </si>
  <si>
    <t>Embedded shared-finance solution enabling couples and cohabitees to manage household money without joint accounts</t>
  </si>
  <si>
    <t>Series A close OR independent EMI/card programme outside Lloyds embed</t>
  </si>
  <si>
    <t>WATCH-003</t>
  </si>
  <si>
    <t>NOBO Finance</t>
  </si>
  <si>
    <t>FinTech Innovation Lab London 2026; Bank of England Digital Pound Lab Phase Two</t>
  </si>
  <si>
    <t>Digital trade-finance rails making export SMEs visible for cross-border finance and invoice factoring</t>
  </si>
  <si>
    <t>Seed / Series A close; commercial launch of B2B payments layer</t>
  </si>
  <si>
    <t>WATCH-004</t>
  </si>
  <si>
    <t>Axiology</t>
  </si>
  <si>
    <t>LT</t>
  </si>
  <si>
    <t>Fully regulated DLT market infrastructure for issuance, custody, trading, and settlement of digital securities</t>
  </si>
  <si>
    <t>Series A close; expansion into settlement-linked card products for institutional clients</t>
  </si>
  <si>
    <t>WATCH-005</t>
  </si>
  <si>
    <t>SoftBees</t>
  </si>
  <si>
    <t>PL</t>
  </si>
  <si>
    <t>Money20/20 Europe 2026 Startup Hub cohort</t>
  </si>
  <si>
    <t>Modular fintech-build platform covering onboarding, payments, cards, compliance, back-office - positioning to help banks launch localised digital banking products</t>
  </si>
  <si>
    <t>Priced seed / Series A; European bank client engagement with card issuance component</t>
  </si>
  <si>
    <t>https://ffnews.com/newsarticle/fintech/money20-20-europe-2026-puts-the-spotlight-on-six-startups-defining-whats-next-in-fintech</t>
  </si>
  <si>
    <t>Ukrainian founders, Polish ops - MVP-market flag</t>
  </si>
  <si>
    <t>WATCH-006</t>
  </si>
  <si>
    <t>Capi Money</t>
  </si>
  <si>
    <t>Regulator</t>
  </si>
  <si>
    <t>UK FCA EMI authorisation granted January 2026</t>
  </si>
  <si>
    <t>Digital wallet and FX platform for UK businesses paying suppliers and collecting from customers in 30+ emerging-market currencies</t>
  </si>
  <si>
    <t>First commercial card programme launch OR hire of Head of Card Programs</t>
  </si>
  <si>
    <t>https://www.fintechfutures.com/regulations-compliance/fca-grants-emi-licence-to-capi-money</t>
  </si>
  <si>
    <t>US$18M+ total funding</t>
  </si>
  <si>
    <t>WATCH-007</t>
  </si>
  <si>
    <t>Incard</t>
  </si>
  <si>
    <t>UK FCA EMI authorisation Feb 2026; £10M Series A closed early Feb 2026</t>
  </si>
  <si>
    <t>Financial operating system for digital entrepreneurs: multi-currency IBANs, corporate cards, cash-flow, invoicing. £500M+ transaction volume since 2024 launch</t>
  </si>
  <si>
    <t>Approaching 100-employee mark - already near Prospect threshold; announcement of BIN / issuer-processor migration</t>
  </si>
  <si>
    <t>https://www.fintechfutures.com/business-banking/incard-lands-uk-emi-licence-to-expand-business-banking-services</t>
  </si>
  <si>
    <t>Also IT presence</t>
  </si>
  <si>
    <t>Ready</t>
  </si>
  <si>
    <t>WATCH-008</t>
  </si>
  <si>
    <t>Vinted Pay</t>
  </si>
  <si>
    <t>UK FCA EMI authorisation March 2026 for newly separated payments entity</t>
  </si>
  <si>
    <t>In-house payments/e-money entity separated from Vinted marketplace to handle wallet balances, seller payouts, cross-border settlement</t>
  </si>
  <si>
    <t>First public reference to card issuance for seller payouts OR expansion outside Vinted parent</t>
  </si>
  <si>
    <t>https://www.fintechfutures.com/paytech/vinted-pay-secures-uk-emi-licence</t>
  </si>
  <si>
    <t>Parent Vinted is above 100 employees; Vinted Pay entity itself is qualifying unit</t>
  </si>
  <si>
    <t>WATCH-009</t>
  </si>
  <si>
    <t>Cino</t>
  </si>
  <si>
    <t>EE</t>
  </si>
  <si>
    <t>Media</t>
  </si>
  <si>
    <t>Sifted / Trending Topics "fintech startups to watch 2026"; €3.5M seed with Balderton Mar 2025</t>
  </si>
  <si>
    <t>Group-payment app anchored on a shared virtual card that splits and settles group bills instantly across underlying accounts</t>
  </si>
  <si>
    <t>UK / DE market launch with own-brand physical card OR Series A close</t>
  </si>
  <si>
    <t>https://www.trendingtopics.eu/5-fintech-startups-to-watch-in-2026/</t>
  </si>
  <si>
    <t>100% month-on-month growth reported</t>
  </si>
  <si>
    <t>WATCH-010</t>
  </si>
  <si>
    <t>Serene</t>
  </si>
  <si>
    <t>Money20/20 Europe 2026 Start-Up Media Session selectee</t>
  </si>
  <si>
    <t>Predictive behavioural monitoring for banks and card programmes; spots vulnerability and prevents malicious transactions</t>
  </si>
  <si>
    <t>First priced fundraise; partnership with a European issuer (channel adjacency)</t>
  </si>
  <si>
    <t>Sold INTO issuers - potential channel partner rather than direct customer</t>
  </si>
  <si>
    <t>WATCH-011</t>
  </si>
  <si>
    <t>SAPI</t>
  </si>
  <si>
    <t>Payment-linked lending platform providing working capital to SMBs through existing payment relationships; focus on immigrant- and women-owned businesses</t>
  </si>
  <si>
    <t>Announcement of embedded credit-card / spend-card product alongside existing lending</t>
  </si>
  <si>
    <t>WATCH-012</t>
  </si>
  <si>
    <t>Aviel Intelligence</t>
  </si>
  <si>
    <t>Money20/20 Europe 2026 Start-Up pitch competition winner</t>
  </si>
  <si>
    <t>Detects scam-linked bank accounts and outgoing payments before authorisation; sold to issuers and payment providers</t>
  </si>
  <si>
    <t>Priced seed round; first European bank issuer deployment</t>
  </si>
  <si>
    <t>Sold INTO issuers - potential channel partner</t>
  </si>
  <si>
    <t>WATCH-013</t>
  </si>
  <si>
    <t>Kulipa</t>
  </si>
  <si>
    <t>FR</t>
  </si>
  <si>
    <t>$6.2M seed co-led by Flourish Ventures and 1kx for stablecoin-native card issuing infrastructure</t>
  </si>
  <si>
    <t>White-label card issuance for fintechs and self-custodial wallets, allowing stablecoin balances to be spent on globally accepted cards. 120,000+ cards issued since Feb 2025</t>
  </si>
  <si>
    <t>European issuer-processor swap OR EU expansion beyond current BIN sponsor</t>
  </si>
  <si>
    <t>https://www.finextra.com/newsarticle/47529/kulipa-raises-62m-for-stablecoin-native-card-issuing-infrastructure-platform</t>
  </si>
  <si>
    <t>Competitor-adjacent - own issuing infrastructure; may be partner rather than customer</t>
  </si>
  <si>
    <t>WATCH-014</t>
  </si>
  <si>
    <t>finperks</t>
  </si>
  <si>
    <t>DE</t>
  </si>
  <si>
    <t>€3.4M pre-seed led by Motive Partners + seed+speed Ventures - "the Stripe for prepaid"</t>
  </si>
  <si>
    <t>API infrastructure enabling banks, fintechs and HR platforms to issue prepaid cards, cashback, employee benefits through a single integration</t>
  </si>
  <si>
    <t>First bank BaaS client; own BIN sponsorship OR EMI authorisation</t>
  </si>
  <si>
    <t>https://www.eu-startups.com/2026/03/ex-viafintech-founders-new-venture-finperks-raises-e3-4-million-pre-seed-to-build-the-stripe-for-prepaid/</t>
  </si>
  <si>
    <t>Founders previously built and exited Barzahlen/viafintech</t>
  </si>
  <si>
    <t>WATCH-015</t>
  </si>
  <si>
    <t>Seapoint</t>
  </si>
  <si>
    <t>IE</t>
  </si>
  <si>
    <t>€7.5M seed led by 13books; embedded multi-currency accounts and virtual cards explicit</t>
  </si>
  <si>
    <t>AI-native financial operations platform for venture-backed startups: banking, invoicing, payroll, accounting; embedded multi-currency accounts and virtual cards via Wealthkernel</t>
  </si>
  <si>
    <t>Migration to direct issuer-processor relationship as volumes grow; expansion outside UK/IE</t>
  </si>
  <si>
    <t>https://www.finextra.com/newsarticle/47610/ex-stripe-team-raise-75-million-for-startup-operations-platform</t>
  </si>
  <si>
    <t>Ex-Stripe team</t>
  </si>
  <si>
    <t>WATCH-016</t>
  </si>
  <si>
    <t>Paypercut</t>
  </si>
  <si>
    <t>BG</t>
  </si>
  <si>
    <t>€5M seed co-led by Concentric, Passion Capital, Araya; EMI licence application in Ireland referenced</t>
  </si>
  <si>
    <t>Single-integration merchant platform: card acceptance, local payment methods, BNPL, payment links, QR, multi-currency settlement. 200+ merchants across 8 CEE markets</t>
  </si>
  <si>
    <t>EMI licence grant in Ireland or Bulgaria; launch of merchant-facing spend card</t>
  </si>
  <si>
    <t>https://www.vestbee.com/insights/articles/top-cee-funding-rounds-closed-in-june-2026</t>
  </si>
  <si>
    <t>CEE-focused - adjacent to MVP markets</t>
  </si>
  <si>
    <t>WATCH-017</t>
  </si>
  <si>
    <t>Tapaya</t>
  </si>
  <si>
    <t>CZ</t>
  </si>
  <si>
    <t>€1M pre-seed with Passion Capital, Depo Ventures, BADideas.fund; funds to complete PCI MPoC certification</t>
  </si>
  <si>
    <t>SoftPOS software enabling in-person card acceptance on standard smartphones and tablets without traditional terminals</t>
  </si>
  <si>
    <t>Priced seed round; bank distribution deal that could pull in card issuance</t>
  </si>
  <si>
    <t>https://www.vestbee.com/insights/articles/top-cee-funding-rounds-closed-in-april-2026</t>
  </si>
  <si>
    <t>MVP market (Czech Republic)</t>
  </si>
  <si>
    <t>WATCH-018</t>
  </si>
  <si>
    <t>WanderWallet</t>
  </si>
  <si>
    <t>$500K pre-seed led by BDPartners, DEPO Ventures</t>
  </si>
  <si>
    <t>Travel-focused wallet allowing foreigners to pay via local QR rails (Pix, Transferencias 3.0, QR Simple) with USD/EUR funded balances</t>
  </si>
  <si>
    <t>European market launch with local card issuance for the destination corridor; seed round close</t>
  </si>
  <si>
    <t>https://itkey.media/usd-500k-for-wanderwallets-simplified-cross-border-payments-in-latam/</t>
  </si>
  <si>
    <t>CZ founders, DE/US registration - MVP-adjacent flag</t>
  </si>
  <si>
    <t>WATCH-019</t>
  </si>
  <si>
    <t>Volteum</t>
  </si>
  <si>
    <t>HU</t>
  </si>
  <si>
    <t>€2.5M seed with WakeUp Capital, Techstars, Nesprit, Movens Capital, Day One Capital</t>
  </si>
  <si>
    <t>Unified operational platform for managing electric and mixed vehicle fleets; expanding into UK, Benelux and DACH</t>
  </si>
  <si>
    <t>Announcement of fleet charging or fuel card product; partnership with European fuel/mobility issuer</t>
  </si>
  <si>
    <t>MVP market (Hungary)</t>
  </si>
  <si>
    <t>WATCH-020</t>
  </si>
  <si>
    <t>ForActive</t>
  </si>
  <si>
    <t>$3.6M seed led by Simpact Ventures</t>
  </si>
  <si>
    <t>SaaS for independent fitness and sports professionals: recurring payments, attendance tracking, client communication; expanding to US</t>
  </si>
  <si>
    <t>Client wallet or professional debit-card product on top of recurring-payments core</t>
  </si>
  <si>
    <t>https://www.vestbee.com/insights/articles/top-cee-funding-rounds-closed-in-july-2026</t>
  </si>
  <si>
    <t>MVP market (Poland)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</si>
</sst>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4" x14ac:knownFonts="1">
    <font>
      <sz val="11"/>
      <color theme="1"/>
      <name val="Calibri"/>
      <family val="2"/>
      <charset val="1"/>
    </font>
    <font>
      <b/>
      <sz val="18"/>
      <color rgb="FF003865"/>
      <name val="Open Sans Light"/>
      <charset val="1"/>
    </font>
    <font>
      <i/>
      <sz val="11"/>
      <color rgb="FF003865"/>
      <name val="Open Sans Light"/>
      <charset val="1"/>
    </font>
    <font>
      <b/>
      <sz val="12"/>
      <color rgb="FF003865"/>
      <name val="Open Sans Light"/>
      <charset val="1"/>
    </font>
    <font>
      <b/>
      <sz val="11"/>
      <color rgb="FFFFFFFF"/>
      <name val="Open Sans Light"/>
      <charset val="1"/>
    </font>
    <font>
      <sz val="10"/>
      <color rgb="FF222222"/>
      <name val="Open Sans Light"/>
      <charset val="1"/>
    </font>
    <font>
      <b/>
      <sz val="10"/>
      <color rgb="FF003865"/>
      <name val="Open Sans Light"/>
      <charset val="1"/>
    </font>
    <font>
      <b/>
      <sz val="11"/>
      <color rgb="FF003865"/>
      <name val="Open Sans Light"/>
      <charset val="1"/>
    </font>
    <font>
      <sz val="10"/>
      <name val="Open Sans Light"/>
      <charset val="1"/>
    </font>
    <font>
      <b/>
      <sz val="18"/>
      <color rgb="FF003865"/>
      <name val="Open Sans Light"/>
    </font>
    <font>
      <i/>
      <sz val="11"/>
      <color rgb="FF003865"/>
      <name val="Open Sans Light"/>
    </font>
    <font>
      <b/>
      <sz val="11"/>
      <color rgb="FFFFFFFF"/>
      <name val="Open Sans Light"/>
    </font>
    <font>
      <sz val="10"/>
      <color rgb="FF222222"/>
      <name val="Open Sans Light"/>
    </font>
    <font>
      <b/>
      <sz val="10"/>
      <color rgb="FF003865"/>
      <name val="Open Sans Light"/>
    </font>
  </fonts>
  <fills count="9">
    <fill>
      <patternFill patternType="none"/>
    </fill>
    <fill>
      <patternFill patternType="gray125"/>
    </fill>
    <fill>
      <patternFill patternType="solid">
        <fgColor rgb="FF003865"/>
        <bgColor rgb="FF333399"/>
      </patternFill>
    </fill>
    <fill>
      <patternFill patternType="solid">
        <fgColor rgb="FFFFFFFF"/>
        <bgColor rgb="FFF2F2F2"/>
      </patternFill>
    </fill>
    <fill>
      <patternFill patternType="solid">
        <fgColor rgb="FFF2F2F2"/>
        <bgColor rgb="FFDEEBF7"/>
      </patternFill>
    </fill>
    <fill>
      <patternFill patternType="solid">
        <fgColor rgb="FFDEEBF7"/>
        <bgColor rgb="FFF2F2F2"/>
      </patternFill>
    </fill>
    <fill>
      <patternFill patternType="solid">
        <fgColor rgb="FF003865"/>
      </patternFill>
    </fill>
    <fill>
      <patternFill patternType="solid">
        <fgColor rgb="FFF2F2F2"/>
      </patternFill>
    </fill>
    <fill>
      <patternFill patternType="solid">
        <fgColor rgb="FFFFFF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3" fillId="0" borderId="0" xfId="0" applyFont="1"/>
    <xf numFmtId="0" fontId="4" fillId="2" borderId="1" xfId="0" applyFont="1" applyFill="1" applyBorder="1" applyAlignment="1">
      <alignment horizontal="left" vertical="center" wrapText="1"/>
    </xf>
    <xf numFmtId="0" fontId="5" fillId="3" borderId="1" xfId="0" applyFont="1" applyFill="1" applyBorder="1" applyAlignment="1">
      <alignment horizontal="left" vertical="top" wrapText="1"/>
    </xf>
    <xf numFmtId="0" fontId="5" fillId="4" borderId="1" xfId="0" applyFont="1" applyFill="1" applyBorder="1" applyAlignment="1">
      <alignment horizontal="left" vertical="top" wrapText="1"/>
    </xf>
    <xf numFmtId="164" fontId="5" fillId="4" borderId="1" xfId="0" applyNumberFormat="1" applyFont="1" applyFill="1" applyBorder="1" applyAlignment="1">
      <alignment horizontal="left" vertical="top" wrapText="1"/>
    </xf>
    <xf numFmtId="0" fontId="5" fillId="5" borderId="1" xfId="0" applyFont="1" applyFill="1" applyBorder="1" applyAlignment="1">
      <alignment horizontal="left" vertical="top" wrapText="1"/>
    </xf>
    <xf numFmtId="164" fontId="5" fillId="3" borderId="1" xfId="0" applyNumberFormat="1" applyFont="1" applyFill="1" applyBorder="1" applyAlignment="1">
      <alignment horizontal="left" vertical="top" wrapText="1"/>
    </xf>
    <xf numFmtId="0" fontId="6" fillId="3"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7" fillId="0" borderId="0" xfId="0" applyFont="1"/>
    <xf numFmtId="0" fontId="8" fillId="0" borderId="1" xfId="0" applyFont="1" applyBorder="1"/>
    <xf numFmtId="164" fontId="0" fillId="0" borderId="0" xfId="0" applyNumberFormat="1"/>
    <xf numFmtId="0" fontId="12" fillId="8" borderId="2" xfId="0" applyFont="1" applyFill="1" applyBorder="1" applyAlignment="1">
      <alignment horizontal="left" vertical="top" wrapText="1"/>
    </xf>
    <xf numFmtId="0" fontId="11" fillId="6" borderId="2" xfId="0" applyFont="1" applyFill="1" applyBorder="1" applyAlignment="1">
      <alignment horizontal="left" vertical="center" wrapText="1"/>
    </xf>
    <xf numFmtId="0" fontId="13" fillId="7" borderId="2" xfId="0" applyFont="1" applyFill="1" applyBorder="1" applyAlignment="1">
      <alignment horizontal="left" vertical="top" wrapText="1"/>
    </xf>
    <xf numFmtId="0" fontId="12" fillId="7" borderId="2" xfId="0" applyFont="1" applyFill="1" applyBorder="1" applyAlignment="1">
      <alignment horizontal="left" vertical="top" wrapText="1"/>
    </xf>
    <xf numFmtId="164" fontId="12" fillId="7" borderId="2" xfId="0" applyNumberFormat="1" applyFont="1" applyFill="1" applyBorder="1" applyAlignment="1">
      <alignment horizontal="left" vertical="top" wrapText="1"/>
    </xf>
    <xf numFmtId="0" fontId="13" fillId="8" borderId="2" xfId="0" applyFont="1" applyFill="1" applyBorder="1" applyAlignment="1">
      <alignment horizontal="left" vertical="top" wrapText="1"/>
    </xf>
    <xf numFmtId="164" fontId="12" fillId="8" borderId="2" xfId="0" applyNumberFormat="1" applyFont="1" applyFill="1" applyBorder="1" applyAlignment="1">
      <alignment horizontal="left" vertical="top" wrapText="1"/>
    </xf>
    <xf numFmtId="0" fontId="1" fillId="0" borderId="0" xfId="0" applyFont="1"/>
    <xf numFmtId="0" fontId="0" fillId="0" borderId="0" xfId="0"/>
    <xf numFmtId="0" fontId="2" fillId="0" borderId="0" xfId="0" applyFont="1"/>
    <xf numFmtId="0" fontId="0" fillId="0" borderId="0" xfId="0" applyAlignment="1">
      <alignment vertical="top" wrapText="1"/>
    </xf>
    <xf numFmtId="0" fontId="10" fillId="0" borderId="0" xfId="0" applyFont="1"/>
    <xf numFmtId="0" fontId="9"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865"/>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zoomScaleNormal="100" workbookViewId="0"/>
  </sheetViews>
  <sheetFormatPr baseColWidth="10" defaultColWidth="8.6640625" defaultRowHeight="15" x14ac:dyDescent="0.2"/>
  <cols>
    <col min="1" max="1" width="32" customWidth="1"/>
    <col min="2" max="2" width="60" customWidth="1"/>
    <col min="3" max="3" width="42" customWidth="1"/>
    <col min="4" max="6" width="2" customWidth="1"/>
  </cols>
  <sheetData>
    <row r="1" spans="1:6" ht="27.75" customHeight="1" x14ac:dyDescent="0.3">
      <c r="A1" s="20" t="s">
        <v>578</v>
      </c>
      <c r="B1" s="21"/>
      <c r="C1" s="21"/>
      <c r="D1" s="21"/>
      <c r="E1" s="21"/>
      <c r="F1" s="21"/>
    </row>
    <row r="2" spans="1:6" ht="15" customHeight="1" x14ac:dyDescent="0.2">
      <c r="A2" s="22" t="s">
        <v>579</v>
      </c>
      <c r="B2" s="21"/>
      <c r="C2" s="21"/>
      <c r="D2" s="21"/>
      <c r="E2" s="21"/>
      <c r="F2" s="21"/>
    </row>
    <row r="4" spans="1:6" ht="15" customHeight="1" x14ac:dyDescent="0.2">
      <c r="A4" s="1" t="s">
        <v>580</v>
      </c>
    </row>
    <row r="5" spans="1:6" ht="15" customHeight="1" x14ac:dyDescent="0.2">
      <c r="A5" s="23" t="s">
        <v>581</v>
      </c>
      <c r="B5" s="21"/>
      <c r="C5" s="21"/>
      <c r="D5" s="21"/>
      <c r="E5" s="21"/>
      <c r="F5" s="21"/>
    </row>
    <row r="6" spans="1:6" ht="15" customHeight="1" x14ac:dyDescent="0.2">
      <c r="A6" s="21"/>
      <c r="B6" s="21"/>
      <c r="C6" s="21"/>
      <c r="D6" s="21"/>
      <c r="E6" s="21"/>
      <c r="F6" s="21"/>
    </row>
    <row r="7" spans="1:6" ht="15" customHeight="1" x14ac:dyDescent="0.2">
      <c r="A7" s="21"/>
      <c r="B7" s="21"/>
      <c r="C7" s="21"/>
      <c r="D7" s="21"/>
      <c r="E7" s="21"/>
      <c r="F7" s="21"/>
    </row>
    <row r="8" spans="1:6" ht="15" customHeight="1" x14ac:dyDescent="0.2">
      <c r="A8" s="21"/>
      <c r="B8" s="21"/>
      <c r="C8" s="21"/>
      <c r="D8" s="21"/>
      <c r="E8" s="21"/>
      <c r="F8" s="21"/>
    </row>
    <row r="10" spans="1:6" ht="15" customHeight="1" x14ac:dyDescent="0.2">
      <c r="A10" s="1" t="s">
        <v>582</v>
      </c>
    </row>
    <row r="11" spans="1:6" ht="15" customHeight="1" x14ac:dyDescent="0.2">
      <c r="A11" s="2" t="s">
        <v>583</v>
      </c>
      <c r="B11" s="2" t="s">
        <v>584</v>
      </c>
      <c r="C11" s="2" t="s">
        <v>585</v>
      </c>
    </row>
    <row r="12" spans="1:6" ht="15" customHeight="1" x14ac:dyDescent="0.2">
      <c r="A12" s="3" t="s">
        <v>586</v>
      </c>
      <c r="B12" s="3" t="s">
        <v>587</v>
      </c>
      <c r="C12" s="3" t="s">
        <v>588</v>
      </c>
    </row>
    <row r="13" spans="1:6" ht="23.25" customHeight="1" x14ac:dyDescent="0.2">
      <c r="A13" s="4" t="s">
        <v>589</v>
      </c>
      <c r="B13" s="4" t="s">
        <v>590</v>
      </c>
      <c r="C13" s="4" t="s">
        <v>591</v>
      </c>
    </row>
    <row r="14" spans="1:6" ht="57" customHeight="1" x14ac:dyDescent="0.2">
      <c r="A14" s="3" t="s">
        <v>592</v>
      </c>
      <c r="B14" s="3" t="s">
        <v>593</v>
      </c>
      <c r="C14" s="3" t="s">
        <v>594</v>
      </c>
    </row>
    <row r="15" spans="1:6" ht="147" customHeight="1" x14ac:dyDescent="0.2">
      <c r="A15" s="4" t="s">
        <v>595</v>
      </c>
      <c r="B15" s="4" t="s">
        <v>593</v>
      </c>
      <c r="C15" s="4" t="s">
        <v>596</v>
      </c>
    </row>
    <row r="16" spans="1:6" ht="113.25" customHeight="1" x14ac:dyDescent="0.2">
      <c r="A16" s="3" t="s">
        <v>597</v>
      </c>
      <c r="B16" s="3" t="s">
        <v>598</v>
      </c>
      <c r="C16" s="3" t="s">
        <v>599</v>
      </c>
    </row>
    <row r="17" spans="1:3" ht="15" customHeight="1" x14ac:dyDescent="0.2">
      <c r="A17" s="1" t="s">
        <v>600</v>
      </c>
    </row>
    <row r="18" spans="1:3" ht="15" customHeight="1" x14ac:dyDescent="0.2">
      <c r="A18" s="2" t="s">
        <v>601</v>
      </c>
      <c r="B18" s="2" t="s">
        <v>580</v>
      </c>
      <c r="C18" s="2" t="s">
        <v>602</v>
      </c>
    </row>
    <row r="19" spans="1:3" ht="15" customHeight="1" x14ac:dyDescent="0.2">
      <c r="A19" s="3" t="s">
        <v>603</v>
      </c>
      <c r="B19" s="3" t="s">
        <v>604</v>
      </c>
      <c r="C19" s="3" t="s">
        <v>184</v>
      </c>
    </row>
    <row r="20" spans="1:3" ht="23.25" customHeight="1" x14ac:dyDescent="0.2">
      <c r="A20" s="4" t="s">
        <v>605</v>
      </c>
      <c r="B20" s="4" t="s">
        <v>606</v>
      </c>
      <c r="C20" s="4" t="s">
        <v>607</v>
      </c>
    </row>
    <row r="21" spans="1:3" ht="15" customHeight="1" x14ac:dyDescent="0.2">
      <c r="A21" s="3" t="s">
        <v>608</v>
      </c>
      <c r="B21" s="3" t="s">
        <v>609</v>
      </c>
      <c r="C21" s="3" t="s">
        <v>610</v>
      </c>
    </row>
    <row r="22" spans="1:3" ht="23.25" customHeight="1" x14ac:dyDescent="0.2">
      <c r="A22" s="4" t="s">
        <v>611</v>
      </c>
      <c r="B22" s="4" t="s">
        <v>612</v>
      </c>
      <c r="C22" s="4" t="s">
        <v>610</v>
      </c>
    </row>
    <row r="23" spans="1:3" ht="15" customHeight="1" x14ac:dyDescent="0.2">
      <c r="A23" s="3" t="s">
        <v>613</v>
      </c>
      <c r="B23" s="3" t="s">
        <v>614</v>
      </c>
      <c r="C23" s="3" t="s">
        <v>184</v>
      </c>
    </row>
    <row r="24" spans="1:3" ht="15" customHeight="1" x14ac:dyDescent="0.2">
      <c r="A24" s="4" t="s">
        <v>615</v>
      </c>
      <c r="B24" s="4" t="s">
        <v>616</v>
      </c>
      <c r="C24" s="4" t="s">
        <v>617</v>
      </c>
    </row>
    <row r="25" spans="1:3" ht="15" customHeight="1" x14ac:dyDescent="0.2">
      <c r="A25" s="3" t="s">
        <v>618</v>
      </c>
      <c r="B25" s="3" t="s">
        <v>619</v>
      </c>
      <c r="C25" s="3" t="s">
        <v>617</v>
      </c>
    </row>
    <row r="26" spans="1:3" ht="15" customHeight="1" x14ac:dyDescent="0.2">
      <c r="A26" s="4" t="s">
        <v>620</v>
      </c>
      <c r="B26" s="4" t="s">
        <v>621</v>
      </c>
      <c r="C26" s="4" t="s">
        <v>622</v>
      </c>
    </row>
    <row r="27" spans="1:3" ht="15" customHeight="1" x14ac:dyDescent="0.2">
      <c r="A27" s="3" t="s">
        <v>623</v>
      </c>
      <c r="B27" s="3" t="s">
        <v>624</v>
      </c>
      <c r="C27" s="3" t="s">
        <v>625</v>
      </c>
    </row>
    <row r="28" spans="1:3" ht="15" customHeight="1" x14ac:dyDescent="0.2">
      <c r="A28" s="4" t="s">
        <v>626</v>
      </c>
      <c r="B28" s="4" t="s">
        <v>627</v>
      </c>
      <c r="C28" s="4" t="s">
        <v>625</v>
      </c>
    </row>
    <row r="29" spans="1:3" ht="15" customHeight="1" x14ac:dyDescent="0.2">
      <c r="A29" s="3" t="s">
        <v>628</v>
      </c>
      <c r="B29" s="3" t="s">
        <v>629</v>
      </c>
      <c r="C29" s="3" t="s">
        <v>625</v>
      </c>
    </row>
    <row r="30" spans="1:3" ht="15" customHeight="1" x14ac:dyDescent="0.2">
      <c r="A30" s="4" t="s">
        <v>630</v>
      </c>
      <c r="B30" s="4" t="s">
        <v>631</v>
      </c>
      <c r="C30" s="4" t="s">
        <v>625</v>
      </c>
    </row>
    <row r="31" spans="1:3" ht="15" customHeight="1" x14ac:dyDescent="0.2">
      <c r="A31" s="3" t="s">
        <v>632</v>
      </c>
      <c r="B31" s="3" t="s">
        <v>633</v>
      </c>
      <c r="C31" s="3" t="s">
        <v>625</v>
      </c>
    </row>
    <row r="32" spans="1:3" ht="105" x14ac:dyDescent="0.2">
      <c r="A32" s="13" t="s">
        <v>634</v>
      </c>
      <c r="B32" s="13" t="s">
        <v>598</v>
      </c>
      <c r="C32" s="13" t="s">
        <v>635</v>
      </c>
    </row>
  </sheetData>
  <mergeCells count="3">
    <mergeCell ref="A2:F2"/>
    <mergeCell ref="A1:F1"/>
    <mergeCell ref="A5:F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
  <sheetViews>
    <sheetView zoomScaleNormal="100" workbookViewId="0">
      <pane ySplit="4" topLeftCell="A5" activePane="bottomLeft" state="frozen"/>
      <selection pane="bottomLeft" activeCell="H63" sqref="H63"/>
    </sheetView>
  </sheetViews>
  <sheetFormatPr baseColWidth="10" defaultColWidth="8.6640625" defaultRowHeight="15" x14ac:dyDescent="0.2"/>
  <cols>
    <col min="1" max="1" width="6" customWidth="1"/>
    <col min="2" max="2" width="30" customWidth="1"/>
    <col min="3" max="3" width="10" customWidth="1"/>
    <col min="4" max="4" width="8" customWidth="1"/>
    <col min="5" max="8" width="40" customWidth="1"/>
  </cols>
  <sheetData>
    <row r="1" spans="1:8" ht="27.75" customHeight="1" x14ac:dyDescent="0.3">
      <c r="A1" s="20" t="s">
        <v>636</v>
      </c>
      <c r="B1" s="21"/>
      <c r="C1" s="21"/>
      <c r="D1" s="21"/>
      <c r="E1" s="21"/>
      <c r="F1" s="21"/>
      <c r="G1" s="21"/>
      <c r="H1" s="21"/>
    </row>
    <row r="2" spans="1:8" ht="15" customHeight="1" x14ac:dyDescent="0.2">
      <c r="A2" s="22" t="s">
        <v>637</v>
      </c>
      <c r="B2" s="21"/>
      <c r="C2" s="21"/>
      <c r="D2" s="21"/>
      <c r="E2" s="21"/>
      <c r="F2" s="21"/>
      <c r="G2" s="21"/>
      <c r="H2" s="21"/>
    </row>
    <row r="4" spans="1:8" ht="15" customHeight="1" x14ac:dyDescent="0.2">
      <c r="A4" s="2" t="s">
        <v>638</v>
      </c>
      <c r="B4" s="2" t="s">
        <v>639</v>
      </c>
      <c r="C4" s="2" t="s">
        <v>640</v>
      </c>
      <c r="D4" s="2" t="s">
        <v>641</v>
      </c>
      <c r="E4" s="2" t="s">
        <v>642</v>
      </c>
      <c r="F4" s="2" t="s">
        <v>643</v>
      </c>
      <c r="G4" s="2" t="s">
        <v>644</v>
      </c>
      <c r="H4" s="2" t="s">
        <v>645</v>
      </c>
    </row>
    <row r="5" spans="1:8" ht="34.5" customHeight="1" x14ac:dyDescent="0.2">
      <c r="A5" s="4" t="s">
        <v>646</v>
      </c>
      <c r="B5" s="4" t="s">
        <v>647</v>
      </c>
      <c r="C5" s="4" t="s">
        <v>648</v>
      </c>
      <c r="D5" s="4">
        <v>10</v>
      </c>
      <c r="E5" s="4" t="s">
        <v>649</v>
      </c>
      <c r="F5" s="4" t="s">
        <v>650</v>
      </c>
      <c r="G5" s="4" t="s">
        <v>651</v>
      </c>
      <c r="H5" s="4" t="s">
        <v>652</v>
      </c>
    </row>
    <row r="6" spans="1:8" ht="15" customHeight="1" x14ac:dyDescent="0.2">
      <c r="A6" s="3" t="s">
        <v>653</v>
      </c>
      <c r="B6" s="3" t="s">
        <v>654</v>
      </c>
      <c r="C6" s="3" t="s">
        <v>655</v>
      </c>
      <c r="D6" s="3">
        <v>10</v>
      </c>
      <c r="E6" s="3" t="s">
        <v>656</v>
      </c>
      <c r="F6" s="3" t="s">
        <v>657</v>
      </c>
      <c r="G6" s="3" t="s">
        <v>658</v>
      </c>
      <c r="H6" s="3" t="s">
        <v>659</v>
      </c>
    </row>
    <row r="7" spans="1:8" ht="15" customHeight="1" x14ac:dyDescent="0.2">
      <c r="A7" s="4" t="s">
        <v>660</v>
      </c>
      <c r="B7" s="4" t="s">
        <v>661</v>
      </c>
      <c r="C7" s="4" t="s">
        <v>662</v>
      </c>
      <c r="D7" s="4">
        <v>12</v>
      </c>
      <c r="E7" s="4" t="s">
        <v>663</v>
      </c>
      <c r="F7" s="4" t="s">
        <v>664</v>
      </c>
      <c r="G7" s="4" t="s">
        <v>665</v>
      </c>
      <c r="H7" s="4" t="s">
        <v>666</v>
      </c>
    </row>
    <row r="8" spans="1:8" ht="23.25" customHeight="1" x14ac:dyDescent="0.2">
      <c r="A8" s="3" t="s">
        <v>667</v>
      </c>
      <c r="B8" s="3" t="s">
        <v>668</v>
      </c>
      <c r="C8" s="3" t="s">
        <v>669</v>
      </c>
      <c r="D8" s="3">
        <v>8</v>
      </c>
      <c r="E8" s="3" t="s">
        <v>670</v>
      </c>
      <c r="F8" s="3" t="s">
        <v>671</v>
      </c>
      <c r="G8" s="3" t="s">
        <v>672</v>
      </c>
      <c r="H8" s="3" t="s">
        <v>673</v>
      </c>
    </row>
    <row r="9" spans="1:8" ht="23.25" customHeight="1" x14ac:dyDescent="0.2">
      <c r="A9" s="4" t="s">
        <v>674</v>
      </c>
      <c r="B9" s="4" t="s">
        <v>675</v>
      </c>
      <c r="C9" s="4" t="s">
        <v>676</v>
      </c>
      <c r="D9" s="4">
        <v>8</v>
      </c>
      <c r="E9" s="4" t="s">
        <v>677</v>
      </c>
      <c r="F9" s="4" t="s">
        <v>678</v>
      </c>
      <c r="G9" s="4" t="s">
        <v>679</v>
      </c>
      <c r="H9" s="4" t="s">
        <v>680</v>
      </c>
    </row>
    <row r="10" spans="1:8" ht="23.25" customHeight="1" x14ac:dyDescent="0.2">
      <c r="A10" s="3" t="s">
        <v>681</v>
      </c>
      <c r="B10" s="3" t="s">
        <v>682</v>
      </c>
      <c r="C10" s="3" t="s">
        <v>683</v>
      </c>
      <c r="D10" s="3">
        <v>20</v>
      </c>
      <c r="E10" s="3" t="s">
        <v>684</v>
      </c>
      <c r="F10" s="3" t="s">
        <v>685</v>
      </c>
      <c r="G10" s="3" t="s">
        <v>686</v>
      </c>
      <c r="H10" s="3" t="s">
        <v>687</v>
      </c>
    </row>
    <row r="11" spans="1:8" ht="34.5" customHeight="1" x14ac:dyDescent="0.2">
      <c r="A11" s="4" t="s">
        <v>688</v>
      </c>
      <c r="B11" s="4" t="s">
        <v>689</v>
      </c>
      <c r="C11" s="4" t="s">
        <v>690</v>
      </c>
      <c r="D11" s="4">
        <v>8</v>
      </c>
      <c r="E11" s="4" t="s">
        <v>691</v>
      </c>
      <c r="F11" s="4" t="s">
        <v>692</v>
      </c>
      <c r="G11" s="4" t="s">
        <v>693</v>
      </c>
      <c r="H11" s="4" t="s">
        <v>694</v>
      </c>
    </row>
    <row r="12" spans="1:8" ht="23.25" customHeight="1" x14ac:dyDescent="0.2">
      <c r="A12" s="3" t="s">
        <v>695</v>
      </c>
      <c r="B12" s="3" t="s">
        <v>696</v>
      </c>
      <c r="C12" s="3" t="s">
        <v>690</v>
      </c>
      <c r="D12" s="3">
        <v>6</v>
      </c>
      <c r="E12" s="3" t="s">
        <v>697</v>
      </c>
      <c r="F12" s="3" t="s">
        <v>698</v>
      </c>
      <c r="G12" s="3" t="s">
        <v>699</v>
      </c>
      <c r="H12" s="3" t="s">
        <v>700</v>
      </c>
    </row>
    <row r="13" spans="1:8" ht="23.25" customHeight="1" x14ac:dyDescent="0.2">
      <c r="A13" s="4" t="s">
        <v>701</v>
      </c>
      <c r="B13" s="4" t="s">
        <v>702</v>
      </c>
      <c r="C13" s="4" t="s">
        <v>690</v>
      </c>
      <c r="D13" s="4">
        <v>8</v>
      </c>
      <c r="E13" s="4" t="s">
        <v>703</v>
      </c>
      <c r="F13" s="4" t="s">
        <v>704</v>
      </c>
      <c r="G13" s="4" t="s">
        <v>705</v>
      </c>
      <c r="H13" s="4" t="s">
        <v>706</v>
      </c>
    </row>
    <row r="14" spans="1:8" ht="23.25" customHeight="1" x14ac:dyDescent="0.2">
      <c r="A14" s="3" t="s">
        <v>707</v>
      </c>
      <c r="B14" s="3" t="s">
        <v>708</v>
      </c>
      <c r="C14" s="3" t="s">
        <v>709</v>
      </c>
      <c r="D14" s="3">
        <v>10</v>
      </c>
      <c r="E14" s="3" t="s">
        <v>710</v>
      </c>
      <c r="F14" s="3" t="s">
        <v>711</v>
      </c>
      <c r="G14" s="3" t="s">
        <v>712</v>
      </c>
      <c r="H14" s="3" t="s">
        <v>713</v>
      </c>
    </row>
  </sheetData>
  <mergeCells count="2">
    <mergeCell ref="A2:H2"/>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5"/>
  <sheetViews>
    <sheetView zoomScaleNormal="100" workbookViewId="0"/>
  </sheetViews>
  <sheetFormatPr baseColWidth="10" defaultColWidth="8.6640625" defaultRowHeight="15" x14ac:dyDescent="0.2"/>
  <cols>
    <col min="1" max="1" width="32" customWidth="1"/>
    <col min="2" max="2" width="12" customWidth="1"/>
    <col min="3" max="3" width="2" customWidth="1"/>
    <col min="4" max="4" width="24" customWidth="1"/>
    <col min="5" max="5" width="12" customWidth="1"/>
    <col min="6" max="6" width="2" customWidth="1"/>
    <col min="7" max="7" width="36" customWidth="1"/>
    <col min="8" max="8" width="12" customWidth="1"/>
    <col min="9" max="9" width="2" customWidth="1"/>
    <col min="10" max="10" width="30" customWidth="1"/>
    <col min="11" max="11" width="12" customWidth="1"/>
    <col min="12" max="12" width="2" customWidth="1"/>
    <col min="13" max="13" width="50" customWidth="1"/>
    <col min="14" max="14" width="12" customWidth="1"/>
    <col min="15" max="15" width="2" customWidth="1"/>
    <col min="16" max="16" width="38" customWidth="1"/>
    <col min="17" max="17" width="12" customWidth="1"/>
  </cols>
  <sheetData>
    <row r="1" spans="1:17" ht="27.75" customHeight="1" x14ac:dyDescent="0.3">
      <c r="A1" s="20" t="s">
        <v>714</v>
      </c>
      <c r="B1" s="21"/>
      <c r="C1" s="21"/>
      <c r="D1" s="21"/>
      <c r="E1" s="21"/>
      <c r="F1" s="21"/>
      <c r="G1" s="21"/>
      <c r="H1" s="21"/>
      <c r="I1" s="21"/>
      <c r="J1" s="21"/>
      <c r="K1" s="21"/>
      <c r="L1" s="21"/>
      <c r="M1" s="21"/>
      <c r="N1" s="21"/>
    </row>
    <row r="2" spans="1:17" ht="15" customHeight="1" x14ac:dyDescent="0.2">
      <c r="A2" s="22" t="s">
        <v>715</v>
      </c>
      <c r="B2" s="21"/>
      <c r="C2" s="21"/>
      <c r="D2" s="21"/>
      <c r="E2" s="21"/>
      <c r="F2" s="21"/>
      <c r="G2" s="21"/>
      <c r="H2" s="21"/>
      <c r="I2" s="21"/>
      <c r="J2" s="21"/>
      <c r="K2" s="21"/>
      <c r="L2" s="21"/>
      <c r="M2" s="21"/>
      <c r="N2" s="21"/>
    </row>
    <row r="4" spans="1:17" ht="15" customHeight="1" x14ac:dyDescent="0.2">
      <c r="A4" s="2" t="s">
        <v>6</v>
      </c>
      <c r="B4" s="2" t="s">
        <v>716</v>
      </c>
      <c r="D4" s="2" t="s">
        <v>4</v>
      </c>
      <c r="E4" s="2" t="s">
        <v>717</v>
      </c>
      <c r="G4" s="2" t="s">
        <v>8</v>
      </c>
      <c r="H4" s="2" t="s">
        <v>718</v>
      </c>
      <c r="J4" s="2" t="s">
        <v>14</v>
      </c>
      <c r="K4" s="2" t="s">
        <v>719</v>
      </c>
      <c r="M4" s="2" t="s">
        <v>16</v>
      </c>
      <c r="N4" s="2" t="s">
        <v>720</v>
      </c>
      <c r="P4" s="2" t="s">
        <v>13</v>
      </c>
      <c r="Q4" s="2" t="s">
        <v>721</v>
      </c>
    </row>
    <row r="5" spans="1:17" ht="15" customHeight="1" x14ac:dyDescent="0.2">
      <c r="A5" s="3" t="s">
        <v>135</v>
      </c>
      <c r="B5" s="3">
        <v>10</v>
      </c>
      <c r="D5" s="3" t="s">
        <v>47</v>
      </c>
      <c r="E5" s="3">
        <v>12</v>
      </c>
      <c r="G5" s="3" t="s">
        <v>175</v>
      </c>
      <c r="H5" s="3">
        <v>8</v>
      </c>
      <c r="J5" s="3" t="s">
        <v>144</v>
      </c>
      <c r="K5" s="3">
        <v>8</v>
      </c>
      <c r="M5" s="3" t="s">
        <v>57</v>
      </c>
      <c r="N5" s="3">
        <v>6</v>
      </c>
      <c r="P5" s="3" t="s">
        <v>77</v>
      </c>
      <c r="Q5" s="3">
        <v>8</v>
      </c>
    </row>
    <row r="6" spans="1:17" ht="15" customHeight="1" x14ac:dyDescent="0.2">
      <c r="A6" s="4" t="s">
        <v>722</v>
      </c>
      <c r="B6" s="4">
        <v>10</v>
      </c>
      <c r="D6" s="4" t="s">
        <v>203</v>
      </c>
      <c r="E6" s="4">
        <v>12</v>
      </c>
      <c r="G6" s="4" t="s">
        <v>136</v>
      </c>
      <c r="H6" s="4">
        <v>8</v>
      </c>
      <c r="J6" s="4" t="s">
        <v>444</v>
      </c>
      <c r="K6" s="4">
        <v>8</v>
      </c>
      <c r="M6" s="4" t="s">
        <v>70</v>
      </c>
      <c r="N6" s="4">
        <v>4</v>
      </c>
      <c r="P6" s="4" t="s">
        <v>138</v>
      </c>
      <c r="Q6" s="4">
        <v>8</v>
      </c>
    </row>
    <row r="7" spans="1:17" ht="15" customHeight="1" x14ac:dyDescent="0.2">
      <c r="A7" s="3" t="s">
        <v>254</v>
      </c>
      <c r="B7" s="3">
        <v>7</v>
      </c>
      <c r="D7" s="3" t="s">
        <v>262</v>
      </c>
      <c r="E7" s="3">
        <v>12</v>
      </c>
      <c r="G7" s="3" t="s">
        <v>151</v>
      </c>
      <c r="H7" s="3">
        <v>8</v>
      </c>
      <c r="J7" s="3" t="s">
        <v>215</v>
      </c>
      <c r="K7" s="3">
        <v>8</v>
      </c>
      <c r="M7" s="3" t="s">
        <v>723</v>
      </c>
      <c r="N7" s="3">
        <v>2</v>
      </c>
      <c r="P7" s="3" t="s">
        <v>114</v>
      </c>
      <c r="Q7" s="3">
        <v>6</v>
      </c>
    </row>
    <row r="8" spans="1:17" ht="23.25" customHeight="1" x14ac:dyDescent="0.2">
      <c r="A8" s="4" t="s">
        <v>66</v>
      </c>
      <c r="B8" s="4">
        <v>7</v>
      </c>
      <c r="D8" s="4" t="s">
        <v>329</v>
      </c>
      <c r="E8" s="4">
        <v>12</v>
      </c>
      <c r="G8" s="4" t="s">
        <v>50</v>
      </c>
      <c r="H8" s="4">
        <v>6</v>
      </c>
      <c r="J8" s="4" t="s">
        <v>392</v>
      </c>
      <c r="K8" s="4">
        <v>8</v>
      </c>
      <c r="M8" s="4" t="s">
        <v>724</v>
      </c>
      <c r="N8" s="4">
        <v>0</v>
      </c>
      <c r="P8" s="4" t="s">
        <v>54</v>
      </c>
      <c r="Q8" s="4">
        <v>3</v>
      </c>
    </row>
    <row r="9" spans="1:17" ht="15" customHeight="1" x14ac:dyDescent="0.2">
      <c r="A9" s="3" t="s">
        <v>95</v>
      </c>
      <c r="B9" s="3">
        <v>7</v>
      </c>
      <c r="D9" s="3" t="s">
        <v>725</v>
      </c>
      <c r="E9" s="3">
        <v>8</v>
      </c>
      <c r="G9" s="3" t="s">
        <v>274</v>
      </c>
      <c r="H9" s="3">
        <v>6</v>
      </c>
      <c r="J9" s="3" t="s">
        <v>457</v>
      </c>
      <c r="K9" s="3">
        <v>8</v>
      </c>
      <c r="P9" s="3" t="s">
        <v>185</v>
      </c>
      <c r="Q9" s="3">
        <v>0</v>
      </c>
    </row>
    <row r="10" spans="1:17" ht="15" customHeight="1" x14ac:dyDescent="0.2">
      <c r="A10" s="4" t="s">
        <v>110</v>
      </c>
      <c r="B10" s="4">
        <v>7</v>
      </c>
      <c r="D10" s="4" t="s">
        <v>726</v>
      </c>
      <c r="E10" s="4">
        <v>8</v>
      </c>
      <c r="G10" s="4" t="s">
        <v>67</v>
      </c>
      <c r="H10" s="4">
        <v>6</v>
      </c>
      <c r="J10" s="4" t="s">
        <v>727</v>
      </c>
      <c r="K10" s="4">
        <v>8</v>
      </c>
    </row>
    <row r="11" spans="1:17" ht="15" customHeight="1" x14ac:dyDescent="0.2">
      <c r="A11" s="3" t="s">
        <v>76</v>
      </c>
      <c r="B11" s="3">
        <v>7</v>
      </c>
      <c r="D11" s="3" t="s">
        <v>443</v>
      </c>
      <c r="E11" s="3">
        <v>8</v>
      </c>
      <c r="G11" s="3" t="s">
        <v>118</v>
      </c>
      <c r="H11" s="3">
        <v>3</v>
      </c>
      <c r="J11" s="3" t="s">
        <v>139</v>
      </c>
      <c r="K11" s="3">
        <v>8</v>
      </c>
    </row>
    <row r="12" spans="1:17" ht="15" customHeight="1" x14ac:dyDescent="0.2">
      <c r="A12" s="4" t="s">
        <v>128</v>
      </c>
      <c r="B12" s="4">
        <v>4</v>
      </c>
      <c r="D12" s="4" t="s">
        <v>481</v>
      </c>
      <c r="E12" s="4">
        <v>8</v>
      </c>
      <c r="G12" s="4" t="s">
        <v>234</v>
      </c>
      <c r="H12" s="4">
        <v>3</v>
      </c>
      <c r="J12" s="4" t="s">
        <v>130</v>
      </c>
      <c r="K12" s="4">
        <v>8</v>
      </c>
    </row>
    <row r="13" spans="1:17" ht="15" customHeight="1" x14ac:dyDescent="0.2">
      <c r="A13" s="3" t="s">
        <v>538</v>
      </c>
      <c r="B13" s="3">
        <v>4</v>
      </c>
      <c r="D13" s="3" t="s">
        <v>510</v>
      </c>
      <c r="E13" s="3">
        <v>8</v>
      </c>
      <c r="G13" s="3" t="s">
        <v>182</v>
      </c>
      <c r="H13" s="3">
        <v>0</v>
      </c>
      <c r="J13" s="3" t="s">
        <v>159</v>
      </c>
      <c r="K13" s="3">
        <v>6</v>
      </c>
    </row>
    <row r="14" spans="1:17" ht="15" customHeight="1" x14ac:dyDescent="0.2">
      <c r="A14" s="4" t="s">
        <v>49</v>
      </c>
      <c r="B14" s="4">
        <v>4</v>
      </c>
      <c r="D14" s="4" t="s">
        <v>373</v>
      </c>
      <c r="E14" s="4">
        <v>8</v>
      </c>
      <c r="G14" s="4" t="s">
        <v>728</v>
      </c>
      <c r="H14" s="4">
        <v>0</v>
      </c>
      <c r="J14" s="4" t="s">
        <v>172</v>
      </c>
      <c r="K14" s="4">
        <v>6</v>
      </c>
    </row>
    <row r="15" spans="1:17" ht="23.25" customHeight="1" x14ac:dyDescent="0.2">
      <c r="A15" s="3" t="s">
        <v>181</v>
      </c>
      <c r="B15" s="3">
        <v>4</v>
      </c>
      <c r="D15" s="3" t="s">
        <v>364</v>
      </c>
      <c r="E15" s="3">
        <v>8</v>
      </c>
      <c r="G15" s="3" t="s">
        <v>729</v>
      </c>
      <c r="H15" s="3">
        <v>0</v>
      </c>
      <c r="J15" s="3" t="s">
        <v>55</v>
      </c>
      <c r="K15" s="3">
        <v>4</v>
      </c>
    </row>
    <row r="16" spans="1:17" ht="15" customHeight="1" x14ac:dyDescent="0.2">
      <c r="A16" s="4" t="s">
        <v>180</v>
      </c>
      <c r="B16" s="4">
        <v>4</v>
      </c>
      <c r="D16" s="4" t="s">
        <v>402</v>
      </c>
      <c r="E16" s="4">
        <v>5</v>
      </c>
      <c r="J16" s="4" t="s">
        <v>89</v>
      </c>
      <c r="K16" s="4">
        <v>3</v>
      </c>
    </row>
    <row r="17" spans="1:11" ht="15" customHeight="1" x14ac:dyDescent="0.2">
      <c r="A17" s="3" t="s">
        <v>315</v>
      </c>
      <c r="B17" s="3">
        <v>4</v>
      </c>
      <c r="D17" s="3" t="s">
        <v>359</v>
      </c>
      <c r="E17" s="3">
        <v>5</v>
      </c>
      <c r="J17" s="3" t="s">
        <v>186</v>
      </c>
      <c r="K17" s="3">
        <v>0</v>
      </c>
    </row>
    <row r="18" spans="1:11" ht="15" customHeight="1" x14ac:dyDescent="0.2">
      <c r="A18" s="4" t="s">
        <v>166</v>
      </c>
      <c r="B18" s="4">
        <v>4</v>
      </c>
      <c r="D18" s="4" t="s">
        <v>495</v>
      </c>
      <c r="E18" s="4">
        <v>5</v>
      </c>
    </row>
    <row r="19" spans="1:11" ht="15" customHeight="1" x14ac:dyDescent="0.2">
      <c r="D19" s="3" t="s">
        <v>730</v>
      </c>
      <c r="E19" s="3">
        <v>5</v>
      </c>
    </row>
    <row r="20" spans="1:11" ht="15" customHeight="1" x14ac:dyDescent="0.2">
      <c r="D20" s="4" t="s">
        <v>731</v>
      </c>
      <c r="E20" s="4">
        <v>5</v>
      </c>
    </row>
    <row r="21" spans="1:11" ht="15" customHeight="1" x14ac:dyDescent="0.2">
      <c r="D21" s="3" t="s">
        <v>426</v>
      </c>
      <c r="E21" s="3">
        <v>5</v>
      </c>
    </row>
    <row r="22" spans="1:11" ht="15" customHeight="1" x14ac:dyDescent="0.2">
      <c r="D22" s="4" t="s">
        <v>386</v>
      </c>
      <c r="E22" s="4">
        <v>5</v>
      </c>
    </row>
    <row r="23" spans="1:11" ht="15" customHeight="1" x14ac:dyDescent="0.2">
      <c r="D23" s="3" t="s">
        <v>391</v>
      </c>
      <c r="E23" s="3">
        <v>5</v>
      </c>
    </row>
    <row r="24" spans="1:11" ht="15" customHeight="1" x14ac:dyDescent="0.2">
      <c r="D24" s="4" t="s">
        <v>732</v>
      </c>
      <c r="E24" s="4">
        <v>5</v>
      </c>
    </row>
    <row r="25" spans="1:11" ht="15" customHeight="1" x14ac:dyDescent="0.2">
      <c r="D25" s="3" t="s">
        <v>575</v>
      </c>
      <c r="E25" s="3">
        <v>5</v>
      </c>
    </row>
    <row r="26" spans="1:11" ht="15" customHeight="1" x14ac:dyDescent="0.2">
      <c r="D26" s="4" t="s">
        <v>733</v>
      </c>
      <c r="E26" s="4">
        <v>5</v>
      </c>
    </row>
    <row r="27" spans="1:11" ht="15" customHeight="1" x14ac:dyDescent="0.2">
      <c r="D27" s="3" t="s">
        <v>734</v>
      </c>
      <c r="E27" s="3">
        <v>5</v>
      </c>
    </row>
    <row r="28" spans="1:11" ht="15" customHeight="1" x14ac:dyDescent="0.2">
      <c r="D28" s="4" t="s">
        <v>735</v>
      </c>
      <c r="E28" s="4">
        <v>5</v>
      </c>
    </row>
    <row r="29" spans="1:11" ht="15" customHeight="1" x14ac:dyDescent="0.2">
      <c r="D29" s="3" t="s">
        <v>736</v>
      </c>
      <c r="E29" s="3">
        <v>5</v>
      </c>
    </row>
    <row r="30" spans="1:11" ht="15" customHeight="1" x14ac:dyDescent="0.2">
      <c r="D30" s="4" t="s">
        <v>737</v>
      </c>
      <c r="E30" s="4">
        <v>5</v>
      </c>
    </row>
    <row r="31" spans="1:11" ht="15" customHeight="1" x14ac:dyDescent="0.2">
      <c r="D31" s="3" t="s">
        <v>738</v>
      </c>
      <c r="E31" s="3">
        <v>5</v>
      </c>
    </row>
    <row r="32" spans="1:11" ht="15" customHeight="1" x14ac:dyDescent="0.2">
      <c r="D32" s="4" t="s">
        <v>381</v>
      </c>
      <c r="E32" s="4">
        <v>5</v>
      </c>
    </row>
    <row r="33" spans="4:5" ht="15" customHeight="1" x14ac:dyDescent="0.2">
      <c r="D33" s="3" t="s">
        <v>739</v>
      </c>
      <c r="E33" s="3">
        <v>5</v>
      </c>
    </row>
    <row r="34" spans="4:5" ht="15" customHeight="1" x14ac:dyDescent="0.2">
      <c r="D34" s="4" t="s">
        <v>515</v>
      </c>
      <c r="E34" s="4">
        <v>5</v>
      </c>
    </row>
    <row r="35" spans="4:5" ht="15" customHeight="1" x14ac:dyDescent="0.2">
      <c r="D35" s="3" t="s">
        <v>740</v>
      </c>
      <c r="E35" s="3">
        <v>5</v>
      </c>
    </row>
  </sheetData>
  <mergeCells count="2">
    <mergeCell ref="A2:N2"/>
    <mergeCell ref="A1:N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Q500"/>
  <sheetViews>
    <sheetView tabSelected="1" zoomScaleNormal="100" workbookViewId="0">
      <pane xSplit="2" ySplit="4" topLeftCell="X6" activePane="bottomRight" state="frozen"/>
      <selection pane="topRight" activeCell="C1" sqref="C1"/>
      <selection pane="bottomLeft" activeCell="A5" sqref="A5"/>
      <selection pane="bottomRight" activeCell="M7" sqref="M7"/>
    </sheetView>
  </sheetViews>
  <sheetFormatPr baseColWidth="10" defaultColWidth="8.6640625" defaultRowHeight="15" x14ac:dyDescent="0.2"/>
  <cols>
    <col min="1" max="1" width="12" customWidth="1"/>
    <col min="2" max="2" width="28" customWidth="1"/>
    <col min="3" max="3" width="14" customWidth="1"/>
    <col min="4" max="4" width="16" customWidth="1"/>
    <col min="5" max="5" width="22" customWidth="1"/>
    <col min="6" max="6" width="10" customWidth="1"/>
    <col min="7" max="7" width="28" customWidth="1"/>
    <col min="8" max="8" width="16" customWidth="1"/>
    <col min="9" max="9" width="26" customWidth="1"/>
    <col min="10" max="10" width="14" customWidth="1"/>
    <col min="11" max="11" width="20" customWidth="1"/>
    <col min="12" max="13" width="32" customWidth="1"/>
    <col min="14" max="14" width="14" customWidth="1"/>
    <col min="15" max="15" width="44" customWidth="1"/>
    <col min="16" max="16" width="14" customWidth="1"/>
    <col min="17" max="17" width="16" customWidth="1"/>
    <col min="18" max="18" width="18" customWidth="1"/>
    <col min="19" max="19" width="20" customWidth="1"/>
    <col min="20" max="20" width="14" customWidth="1"/>
    <col min="21" max="21" width="40" customWidth="1"/>
    <col min="22" max="31" width="10" customWidth="1"/>
    <col min="32" max="32" width="12" customWidth="1"/>
    <col min="33" max="35" width="14" customWidth="1"/>
    <col min="36" max="36" width="80" customWidth="1"/>
    <col min="37" max="37" width="14" customWidth="1"/>
    <col min="38" max="38" width="20" customWidth="1"/>
    <col min="39" max="40" width="14" customWidth="1"/>
    <col min="41" max="41" width="22" customWidth="1"/>
    <col min="42" max="42" width="14" customWidth="1"/>
    <col min="43" max="43" width="24" customWidth="1"/>
  </cols>
  <sheetData>
    <row r="1" spans="1:43" ht="27.75" customHeight="1" x14ac:dyDescent="0.3">
      <c r="A1" s="20" t="s">
        <v>0</v>
      </c>
      <c r="B1" s="21"/>
      <c r="C1" s="21"/>
      <c r="D1" s="21"/>
      <c r="E1" s="21"/>
      <c r="F1" s="21"/>
      <c r="G1" s="21"/>
      <c r="H1" s="21"/>
      <c r="I1" s="21"/>
      <c r="J1" s="21"/>
    </row>
    <row r="2" spans="1:43" ht="15" customHeight="1" x14ac:dyDescent="0.2">
      <c r="A2" s="22" t="s">
        <v>1</v>
      </c>
      <c r="B2" s="21"/>
      <c r="C2" s="21"/>
      <c r="D2" s="21"/>
      <c r="E2" s="21"/>
      <c r="F2" s="21"/>
      <c r="G2" s="21"/>
      <c r="H2" s="21"/>
      <c r="I2" s="21"/>
      <c r="J2" s="21"/>
    </row>
    <row r="4" spans="1:43" ht="41.25" customHeight="1" x14ac:dyDescent="0.2">
      <c r="A4" s="2" t="s">
        <v>2</v>
      </c>
      <c r="B4" s="2" t="s">
        <v>3</v>
      </c>
      <c r="C4" s="2" t="s">
        <v>4</v>
      </c>
      <c r="D4" s="2" t="s">
        <v>5</v>
      </c>
      <c r="E4" s="2" t="s">
        <v>6</v>
      </c>
      <c r="F4" s="2" t="s">
        <v>7</v>
      </c>
      <c r="G4" s="2" t="s">
        <v>8</v>
      </c>
      <c r="H4" s="2" t="s">
        <v>9</v>
      </c>
      <c r="I4" s="2" t="s">
        <v>10</v>
      </c>
      <c r="J4" s="2" t="s">
        <v>11</v>
      </c>
      <c r="K4" s="2" t="s">
        <v>12</v>
      </c>
      <c r="L4" s="2" t="s">
        <v>13</v>
      </c>
      <c r="M4" s="2" t="s">
        <v>14</v>
      </c>
      <c r="N4" s="2" t="s">
        <v>15</v>
      </c>
      <c r="O4" s="2" t="s">
        <v>16</v>
      </c>
      <c r="P4" s="2" t="s">
        <v>17</v>
      </c>
      <c r="Q4" s="2" t="s">
        <v>18</v>
      </c>
      <c r="R4" s="2" t="s">
        <v>19</v>
      </c>
      <c r="S4" s="2" t="s">
        <v>20</v>
      </c>
      <c r="T4" s="2" t="s">
        <v>21</v>
      </c>
      <c r="U4" s="2" t="s">
        <v>22</v>
      </c>
      <c r="V4" s="2" t="s">
        <v>23</v>
      </c>
      <c r="W4" s="2" t="s">
        <v>24</v>
      </c>
      <c r="X4" s="2" t="s">
        <v>25</v>
      </c>
      <c r="Y4" s="2" t="s">
        <v>26</v>
      </c>
      <c r="Z4" s="2" t="s">
        <v>27</v>
      </c>
      <c r="AA4" s="2" t="s">
        <v>28</v>
      </c>
      <c r="AB4" s="2" t="s">
        <v>29</v>
      </c>
      <c r="AC4" s="2" t="s">
        <v>30</v>
      </c>
      <c r="AD4" s="2" t="s">
        <v>31</v>
      </c>
      <c r="AE4" s="2" t="s">
        <v>32</v>
      </c>
      <c r="AF4" s="2" t="s">
        <v>33</v>
      </c>
      <c r="AG4" s="2" t="s">
        <v>34</v>
      </c>
      <c r="AH4" s="2" t="s">
        <v>35</v>
      </c>
      <c r="AI4" s="2" t="s">
        <v>36</v>
      </c>
      <c r="AJ4" s="2" t="s">
        <v>37</v>
      </c>
      <c r="AK4" s="2" t="s">
        <v>38</v>
      </c>
      <c r="AL4" s="2" t="s">
        <v>39</v>
      </c>
      <c r="AM4" s="2" t="s">
        <v>40</v>
      </c>
      <c r="AN4" s="2" t="s">
        <v>41</v>
      </c>
      <c r="AO4" s="2" t="s">
        <v>42</v>
      </c>
      <c r="AP4" s="2" t="s">
        <v>43</v>
      </c>
      <c r="AQ4" s="2" t="s">
        <v>44</v>
      </c>
    </row>
    <row r="5" spans="1:43" ht="99.75" customHeight="1" x14ac:dyDescent="0.2">
      <c r="A5" s="4" t="s">
        <v>45</v>
      </c>
      <c r="B5" s="4" t="s">
        <v>46</v>
      </c>
      <c r="C5" s="4" t="s">
        <v>47</v>
      </c>
      <c r="D5" s="4" t="s">
        <v>48</v>
      </c>
      <c r="E5" s="4" t="s">
        <v>49</v>
      </c>
      <c r="F5" s="4">
        <v>25</v>
      </c>
      <c r="G5" s="4" t="s">
        <v>50</v>
      </c>
      <c r="H5" s="4" t="s">
        <v>51</v>
      </c>
      <c r="I5" s="4" t="s">
        <v>52</v>
      </c>
      <c r="J5" s="5">
        <v>46183</v>
      </c>
      <c r="K5" s="4" t="s">
        <v>53</v>
      </c>
      <c r="L5" s="4" t="s">
        <v>54</v>
      </c>
      <c r="M5" s="4" t="s">
        <v>55</v>
      </c>
      <c r="N5" s="4" t="s">
        <v>56</v>
      </c>
      <c r="O5" s="4" t="s">
        <v>57</v>
      </c>
      <c r="P5" s="4">
        <v>0</v>
      </c>
      <c r="Q5" s="4">
        <v>50000</v>
      </c>
      <c r="R5" s="4" t="s">
        <v>58</v>
      </c>
      <c r="S5" s="4" t="s">
        <v>59</v>
      </c>
      <c r="T5" s="5">
        <v>46216</v>
      </c>
      <c r="U5" s="4" t="s">
        <v>60</v>
      </c>
      <c r="V5" s="6">
        <f>IF(E5="","",IFERROR(VLOOKUP(E5,Scoring_Lookups!$A$5:$B$18,2,FALSE()),0))</f>
        <v>4</v>
      </c>
      <c r="W5" s="6">
        <f t="shared" ref="W5:W36" si="0">IF(F5="","",IF(AND(F5&gt;=50,F5&lt;=1000),10,IF(OR(AND(F5&gt;=20,F5&lt;=49),AND(F5&gt;=1001,F5&lt;=2000)),7,IF(OR(AND(F5&gt;=10,F5&lt;=19),AND(F5&gt;=2001,F5&lt;=5000)),4,0))))</f>
        <v>7</v>
      </c>
      <c r="X5" s="6">
        <f>IF(C5="","",IFERROR(VLOOKUP(C5,Scoring_Lookups!$D$5:$E$35,2,FALSE()),0))</f>
        <v>12</v>
      </c>
      <c r="Y5" s="6">
        <f>IF(G5="","",IFERROR(VLOOKUP(G5,Scoring_Lookups!$G$5:$H$16,2,FALSE()),0))</f>
        <v>6</v>
      </c>
      <c r="Z5" s="6">
        <f t="shared" ref="Z5:Z36" ca="1" si="1">IF(I5="","",IF(OR(I5="Administration/Insolvency",I5="Pending Wind-down",I5="Sanctions Exposure"),0,IF(OR(AND(OR(I5="Series B",I5="Series C",I5="Series D+"),J5&lt;&gt;"",J5&gt;=TODAY()-730),I5="PE-controlled Growth Mandate",I5="Listed with Growth Profile"),8,IF(OR(I5="Series A",I5="Bootstrapped Profitable",I5="PE-controlled Stable",AND(OR(I5="Series B",I5="Series C",I5="Series D+"),J5&lt;&gt;"",J5&lt;TODAY()-730)),6,IF(OR(I5="Seed",I5="Bootstrapped",I5="Listed Stable",I5="Established Private Flat"),3,0)))))</f>
        <v>3</v>
      </c>
      <c r="AA5" s="6">
        <f ca="1">IF(N5="Yes",0,IF(A5="",0,IF(COUNTIFS('04_Triggers'!B:B,A5,'04_Triggers'!D:D,"&gt;="&amp;(TODAY()-365))&gt;=2,20,IF(COUNTIFS('04_Triggers'!B:B,A5,'04_Triggers'!D:D,"&gt;="&amp;(TODAY()-365),'04_Triggers'!G:G,"High")&gt;=1,14,IF(COUNTIFS('04_Triggers'!B:B,A5,'04_Triggers'!D:D,"&gt;="&amp;(TODAY()-365))&gt;=1,7,IF(COUNTIFS('04_Triggers'!B:B,A5,'04_Triggers'!D:D,"&gt;="&amp;(TODAY()-1095),'04_Triggers'!D:D,"&lt;"&amp;(TODAY()-365))&gt;=1,7,0))))))</f>
        <v>20</v>
      </c>
      <c r="AB5" s="6">
        <f>IF(M5="","",IFERROR(VLOOKUP(M5,Scoring_Lookups!$J$5:$K$16,2,FALSE()),0))</f>
        <v>4</v>
      </c>
      <c r="AC5" s="6">
        <f>IF(O5="","",IFERROR(VLOOKUP(O5,Scoring_Lookups!$M$5:$N$8,2,FALSE()),0))</f>
        <v>6</v>
      </c>
      <c r="AD5" s="6">
        <f>IF(L5="","",IFERROR(VLOOKUP(L5,Scoring_Lookups!$P$5:$Q$9,2,FALSE()),0))</f>
        <v>3</v>
      </c>
      <c r="AE5" s="6">
        <f t="shared" ref="AE5:AE36" si="2">IF(AND(P5="",Q5="",R5=""),"",IF(OR(IFERROR(MAX(P5,Q5),0)&gt;=500000,R5="Yes"),10,IF(IFERROR(MAX(P5,Q5),0)&gt;=100000,7,IF(IFERROR(MAX(P5,Q5),0)&gt;=10000,4,0))))</f>
        <v>4</v>
      </c>
      <c r="AF5" s="6">
        <f t="shared" ref="AF5:AF36" ca="1" si="3">IFERROR(N(V5)+N(W5)+N(X5)+N(Y5)+N(Z5)+N(AA5)+N(AB5)+N(AC5)+N(AD5)+N(AE5),0)</f>
        <v>69</v>
      </c>
      <c r="AG5" s="6" t="str">
        <f t="shared" ref="AG5:AG36" si="4">IF(OR(E5="",C5="",G5=""),"Not scored",IF(OR(V5=0,X5=0,Y5=0,N5="Yes"),"DQ Gating","OK"))</f>
        <v>OK</v>
      </c>
      <c r="AH5" s="6" t="s">
        <v>56</v>
      </c>
      <c r="AI5" s="6" t="str">
        <f t="shared" ref="AI5:AI36" ca="1" si="5">IF(AG5="Not scored","",IF(OR(AG5="DQ Gating",AH5="Yes"),"Disqualified",IF(AF5&gt;=80,"Priority 1",IF(AF5&gt;=60,"Priority 2",IF(AF5&gt;=40,"Priority 3","Disqualified")))))</f>
        <v>Priority 2</v>
      </c>
      <c r="AJ5" s="4" t="str">
        <f t="shared" ref="AJ5:AJ36" ca="1" si="6">IF(AG5="Not scored","","P1 "&amp;IF(E5="","?",E5)&amp;"="&amp;V5&amp;" | P2 "&amp;IF(F5="","?",F5)&amp;"="&amp;W5&amp;" | P3 "&amp;IF(C5="","?",C5)&amp;"="&amp;X5&amp;" | P4 "&amp;IF(G5="","?",G5)&amp;"="&amp;Y5&amp;" | P5 "&amp;IF(I5="","?",I5)&amp;"="&amp;Z5&amp;" | P6="&amp;AA5&amp;" | P7 "&amp;IF(M5="","?",M5)&amp;"="&amp;AB5&amp;" | P8 "&amp;IF(O5="","?",O5)&amp;"="&amp;AC5&amp;" | P9 "&amp;IF(L5="","?",L5)&amp;"="&amp;AD5&amp;" | P10="&amp;AE5)</f>
        <v>P1 Payments=4 | P2 25=7 | P3 Poland=12 | P4 PI Licence=6 | P5 Seed=3 | P6=20 | P7 Planning to Launch (No Incumbent Yet)=4 | P8 Cloud-native (AWS/Azure/GCP), API-first, AI signals=6 | P9 No Sponsor, Licensing Suggests Imminent=3 | P10=4</v>
      </c>
      <c r="AK5" s="4"/>
      <c r="AL5" s="4" t="s">
        <v>61</v>
      </c>
      <c r="AM5" s="4" t="s">
        <v>56</v>
      </c>
      <c r="AN5" s="4"/>
      <c r="AO5" s="4" t="s">
        <v>62</v>
      </c>
      <c r="AP5" s="4" t="str">
        <f t="shared" ref="AP5:AP36" si="7">IF(AO5="","Not set",IF(OR(AO5="Q1 2027",AO5="Q2 2027",AO5="Q3 2027",AO5="Q4 2027",AO5="Live, Migration Window"),"OK",IF(AO5="Live, Urgent Need","Deferred","Watch")))</f>
        <v>OK</v>
      </c>
      <c r="AQ5" s="4" t="s">
        <v>63</v>
      </c>
    </row>
    <row r="6" spans="1:43" ht="99.75" customHeight="1" x14ac:dyDescent="0.2">
      <c r="A6" s="3" t="s">
        <v>64</v>
      </c>
      <c r="B6" s="3" t="s">
        <v>65</v>
      </c>
      <c r="C6" s="3" t="s">
        <v>47</v>
      </c>
      <c r="D6" s="3" t="s">
        <v>48</v>
      </c>
      <c r="E6" s="3" t="s">
        <v>66</v>
      </c>
      <c r="F6" s="3">
        <v>81</v>
      </c>
      <c r="G6" s="3" t="s">
        <v>67</v>
      </c>
      <c r="H6" s="3" t="s">
        <v>68</v>
      </c>
      <c r="I6" s="3" t="s">
        <v>69</v>
      </c>
      <c r="J6" s="3"/>
      <c r="K6" s="3" t="s">
        <v>53</v>
      </c>
      <c r="L6" s="3" t="s">
        <v>54</v>
      </c>
      <c r="M6" s="3" t="s">
        <v>55</v>
      </c>
      <c r="N6" s="3" t="s">
        <v>56</v>
      </c>
      <c r="O6" s="3" t="s">
        <v>70</v>
      </c>
      <c r="P6" s="3">
        <v>0</v>
      </c>
      <c r="Q6" s="3">
        <v>200000</v>
      </c>
      <c r="R6" s="3" t="s">
        <v>71</v>
      </c>
      <c r="S6" s="3" t="s">
        <v>59</v>
      </c>
      <c r="T6" s="7">
        <v>46216</v>
      </c>
      <c r="U6" s="3" t="s">
        <v>72</v>
      </c>
      <c r="V6" s="6">
        <f>IF(E6="","",IFERROR(VLOOKUP(E6,Scoring_Lookups!$A$5:$B$18,2,FALSE()),0))</f>
        <v>7</v>
      </c>
      <c r="W6" s="6">
        <f t="shared" si="0"/>
        <v>10</v>
      </c>
      <c r="X6" s="6">
        <f>IF(C6="","",IFERROR(VLOOKUP(C6,Scoring_Lookups!$D$5:$E$35,2,FALSE()),0))</f>
        <v>12</v>
      </c>
      <c r="Y6" s="6">
        <f>IF(G6="","",IFERROR(VLOOKUP(G6,Scoring_Lookups!$G$5:$H$16,2,FALSE()),0))</f>
        <v>6</v>
      </c>
      <c r="Z6" s="6">
        <f t="shared" ca="1" si="1"/>
        <v>6</v>
      </c>
      <c r="AA6" s="6">
        <f ca="1">IF(N6="Yes",0,IF(A6="",0,IF(COUNTIFS('04_Triggers'!B:B,A6,'04_Triggers'!D:D,"&gt;="&amp;(TODAY()-365))&gt;=2,20,IF(COUNTIFS('04_Triggers'!B:B,A6,'04_Triggers'!D:D,"&gt;="&amp;(TODAY()-365),'04_Triggers'!G:G,"High")&gt;=1,14,IF(COUNTIFS('04_Triggers'!B:B,A6,'04_Triggers'!D:D,"&gt;="&amp;(TODAY()-365))&gt;=1,7,IF(COUNTIFS('04_Triggers'!B:B,A6,'04_Triggers'!D:D,"&gt;="&amp;(TODAY()-1095),'04_Triggers'!D:D,"&lt;"&amp;(TODAY()-365))&gt;=1,7,0))))))</f>
        <v>20</v>
      </c>
      <c r="AB6" s="6">
        <f>IF(M6="","",IFERROR(VLOOKUP(M6,Scoring_Lookups!$J$5:$K$16,2,FALSE()),0))</f>
        <v>4</v>
      </c>
      <c r="AC6" s="6">
        <f>IF(O6="","",IFERROR(VLOOKUP(O6,Scoring_Lookups!$M$5:$N$8,2,FALSE()),0))</f>
        <v>4</v>
      </c>
      <c r="AD6" s="6">
        <f>IF(L6="","",IFERROR(VLOOKUP(L6,Scoring_Lookups!$P$5:$Q$9,2,FALSE()),0))</f>
        <v>3</v>
      </c>
      <c r="AE6" s="6">
        <f t="shared" si="2"/>
        <v>10</v>
      </c>
      <c r="AF6" s="6">
        <f t="shared" ca="1" si="3"/>
        <v>82</v>
      </c>
      <c r="AG6" s="6" t="str">
        <f t="shared" si="4"/>
        <v>OK</v>
      </c>
      <c r="AH6" s="6" t="s">
        <v>56</v>
      </c>
      <c r="AI6" s="6" t="str">
        <f t="shared" ca="1" si="5"/>
        <v>Priority 1</v>
      </c>
      <c r="AJ6" s="3" t="str">
        <f t="shared" ca="1" si="6"/>
        <v>P1 Lending (SMB)=7 | P2 81=10 | P3 Poland=12 | P4 BIN Sponsor Agreement In Place=6 | P5 Bootstrapped Profitable=6 | P6=20 | P7 Planning to Launch (No Incumbent Yet)=4 | P8 Cloud modern, Not API-first=4 | P9 No Sponsor, Licensing Suggests Imminent=3 | P10=10</v>
      </c>
      <c r="AK6" s="3"/>
      <c r="AL6" s="3" t="s">
        <v>61</v>
      </c>
      <c r="AM6" s="3" t="s">
        <v>56</v>
      </c>
      <c r="AN6" s="3"/>
      <c r="AO6" s="3" t="s">
        <v>73</v>
      </c>
      <c r="AP6" s="3" t="str">
        <f t="shared" si="7"/>
        <v>OK</v>
      </c>
      <c r="AQ6" s="3" t="s">
        <v>63</v>
      </c>
    </row>
    <row r="7" spans="1:43" ht="99.75" customHeight="1" x14ac:dyDescent="0.2">
      <c r="A7" s="4" t="s">
        <v>74</v>
      </c>
      <c r="B7" s="4" t="s">
        <v>75</v>
      </c>
      <c r="C7" s="4" t="s">
        <v>47</v>
      </c>
      <c r="D7" s="4" t="s">
        <v>48</v>
      </c>
      <c r="E7" s="4" t="s">
        <v>76</v>
      </c>
      <c r="F7" s="4">
        <v>750</v>
      </c>
      <c r="G7" s="4" t="s">
        <v>50</v>
      </c>
      <c r="H7" s="4" t="s">
        <v>68</v>
      </c>
      <c r="I7" s="4" t="s">
        <v>69</v>
      </c>
      <c r="J7" s="4"/>
      <c r="K7" s="4" t="s">
        <v>53</v>
      </c>
      <c r="L7" s="4" t="s">
        <v>77</v>
      </c>
      <c r="M7" s="4" t="s">
        <v>55</v>
      </c>
      <c r="N7" s="4" t="s">
        <v>56</v>
      </c>
      <c r="O7" s="4" t="s">
        <v>57</v>
      </c>
      <c r="P7" s="4">
        <v>0</v>
      </c>
      <c r="Q7" s="4">
        <v>100000</v>
      </c>
      <c r="R7" s="4" t="s">
        <v>71</v>
      </c>
      <c r="S7" s="4" t="s">
        <v>59</v>
      </c>
      <c r="T7" s="5">
        <v>46216</v>
      </c>
      <c r="U7" s="4" t="s">
        <v>78</v>
      </c>
      <c r="V7" s="6">
        <f>IF(E7="","",IFERROR(VLOOKUP(E7,Scoring_Lookups!$A$5:$B$18,2,FALSE()),0))</f>
        <v>7</v>
      </c>
      <c r="W7" s="6">
        <f t="shared" si="0"/>
        <v>10</v>
      </c>
      <c r="X7" s="6">
        <f>IF(C7="","",IFERROR(VLOOKUP(C7,Scoring_Lookups!$D$5:$E$35,2,FALSE()),0))</f>
        <v>12</v>
      </c>
      <c r="Y7" s="6">
        <f>IF(G7="","",IFERROR(VLOOKUP(G7,Scoring_Lookups!$G$5:$H$16,2,FALSE()),0))</f>
        <v>6</v>
      </c>
      <c r="Z7" s="6">
        <f t="shared" ca="1" si="1"/>
        <v>6</v>
      </c>
      <c r="AA7" s="6">
        <f ca="1">IF(N7="Yes",0,IF(A7="",0,IF(COUNTIFS('04_Triggers'!B:B,A7,'04_Triggers'!D:D,"&gt;="&amp;(TODAY()-365))&gt;=2,20,IF(COUNTIFS('04_Triggers'!B:B,A7,'04_Triggers'!D:D,"&gt;="&amp;(TODAY()-365),'04_Triggers'!G:G,"High")&gt;=1,14,IF(COUNTIFS('04_Triggers'!B:B,A7,'04_Triggers'!D:D,"&gt;="&amp;(TODAY()-365))&gt;=1,7,IF(COUNTIFS('04_Triggers'!B:B,A7,'04_Triggers'!D:D,"&gt;="&amp;(TODAY()-1095),'04_Triggers'!D:D,"&lt;"&amp;(TODAY()-365))&gt;=1,7,0))))))</f>
        <v>20</v>
      </c>
      <c r="AB7" s="6">
        <f>IF(M7="","",IFERROR(VLOOKUP(M7,Scoring_Lookups!$J$5:$K$16,2,FALSE()),0))</f>
        <v>4</v>
      </c>
      <c r="AC7" s="6">
        <f>IF(O7="","",IFERROR(VLOOKUP(O7,Scoring_Lookups!$M$5:$N$8,2,FALSE()),0))</f>
        <v>6</v>
      </c>
      <c r="AD7" s="6">
        <f>IF(L7="","",IFERROR(VLOOKUP(L7,Scoring_Lookups!$P$5:$Q$9,2,FALSE()),0))</f>
        <v>8</v>
      </c>
      <c r="AE7" s="6">
        <f t="shared" si="2"/>
        <v>10</v>
      </c>
      <c r="AF7" s="6">
        <f t="shared" ca="1" si="3"/>
        <v>89</v>
      </c>
      <c r="AG7" s="6" t="str">
        <f t="shared" si="4"/>
        <v>OK</v>
      </c>
      <c r="AH7" s="6" t="s">
        <v>56</v>
      </c>
      <c r="AI7" s="6" t="str">
        <f t="shared" ca="1" si="5"/>
        <v>Priority 1</v>
      </c>
      <c r="AJ7" s="4" t="str">
        <f t="shared" ca="1" si="6"/>
        <v>P1 BaaS=7 | P2 750=10 | P3 Poland=12 | P4 PI Licence=6 | P5 Bootstrapped Profitable=6 | P6=20 | P7 Planning to Launch (No Incumbent Yet)=4 | P8 Cloud-native (AWS/Azure/GCP), API-first, AI signals=6 | P9 Existing BIN Sponsor Relationship=8 | P10=10</v>
      </c>
      <c r="AK7" s="4"/>
      <c r="AL7" s="4" t="s">
        <v>61</v>
      </c>
      <c r="AM7" s="4" t="s">
        <v>56</v>
      </c>
      <c r="AN7" s="4"/>
      <c r="AO7" s="4" t="s">
        <v>62</v>
      </c>
      <c r="AP7" s="4" t="str">
        <f t="shared" si="7"/>
        <v>OK</v>
      </c>
      <c r="AQ7" s="4" t="s">
        <v>63</v>
      </c>
    </row>
    <row r="8" spans="1:43" ht="99.75" customHeight="1" x14ac:dyDescent="0.2">
      <c r="A8" s="3" t="s">
        <v>79</v>
      </c>
      <c r="B8" s="3" t="s">
        <v>80</v>
      </c>
      <c r="C8" s="3" t="s">
        <v>47</v>
      </c>
      <c r="D8" s="3" t="s">
        <v>48</v>
      </c>
      <c r="E8" s="3" t="s">
        <v>49</v>
      </c>
      <c r="F8" s="3">
        <v>47</v>
      </c>
      <c r="G8" s="3" t="s">
        <v>50</v>
      </c>
      <c r="H8" s="3" t="s">
        <v>81</v>
      </c>
      <c r="I8" s="3" t="s">
        <v>82</v>
      </c>
      <c r="J8" s="3"/>
      <c r="K8" s="3" t="s">
        <v>53</v>
      </c>
      <c r="L8" s="3" t="s">
        <v>54</v>
      </c>
      <c r="M8" s="3" t="s">
        <v>55</v>
      </c>
      <c r="N8" s="3" t="s">
        <v>56</v>
      </c>
      <c r="O8" s="3" t="s">
        <v>70</v>
      </c>
      <c r="P8" s="3">
        <v>0</v>
      </c>
      <c r="Q8" s="3">
        <v>150000</v>
      </c>
      <c r="R8" s="3" t="s">
        <v>71</v>
      </c>
      <c r="S8" s="3" t="s">
        <v>59</v>
      </c>
      <c r="T8" s="7">
        <v>46216</v>
      </c>
      <c r="U8" s="3" t="s">
        <v>83</v>
      </c>
      <c r="V8" s="6">
        <f>IF(E8="","",IFERROR(VLOOKUP(E8,Scoring_Lookups!$A$5:$B$18,2,FALSE()),0))</f>
        <v>4</v>
      </c>
      <c r="W8" s="6">
        <f t="shared" si="0"/>
        <v>7</v>
      </c>
      <c r="X8" s="6">
        <f>IF(C8="","",IFERROR(VLOOKUP(C8,Scoring_Lookups!$D$5:$E$35,2,FALSE()),0))</f>
        <v>12</v>
      </c>
      <c r="Y8" s="6">
        <f>IF(G8="","",IFERROR(VLOOKUP(G8,Scoring_Lookups!$G$5:$H$16,2,FALSE()),0))</f>
        <v>6</v>
      </c>
      <c r="Z8" s="6">
        <f t="shared" ca="1" si="1"/>
        <v>3</v>
      </c>
      <c r="AA8" s="6">
        <f ca="1">IF(N8="Yes",0,IF(A8="",0,IF(COUNTIFS('04_Triggers'!B:B,A8,'04_Triggers'!D:D,"&gt;="&amp;(TODAY()-365))&gt;=2,20,IF(COUNTIFS('04_Triggers'!B:B,A8,'04_Triggers'!D:D,"&gt;="&amp;(TODAY()-365),'04_Triggers'!G:G,"High")&gt;=1,14,IF(COUNTIFS('04_Triggers'!B:B,A8,'04_Triggers'!D:D,"&gt;="&amp;(TODAY()-365))&gt;=1,7,IF(COUNTIFS('04_Triggers'!B:B,A8,'04_Triggers'!D:D,"&gt;="&amp;(TODAY()-1095),'04_Triggers'!D:D,"&lt;"&amp;(TODAY()-365))&gt;=1,7,0))))))</f>
        <v>0</v>
      </c>
      <c r="AB8" s="6">
        <f>IF(M8="","",IFERROR(VLOOKUP(M8,Scoring_Lookups!$J$5:$K$16,2,FALSE()),0))</f>
        <v>4</v>
      </c>
      <c r="AC8" s="6">
        <f>IF(O8="","",IFERROR(VLOOKUP(O8,Scoring_Lookups!$M$5:$N$8,2,FALSE()),0))</f>
        <v>4</v>
      </c>
      <c r="AD8" s="6">
        <f>IF(L8="","",IFERROR(VLOOKUP(L8,Scoring_Lookups!$P$5:$Q$9,2,FALSE()),0))</f>
        <v>3</v>
      </c>
      <c r="AE8" s="6">
        <f t="shared" si="2"/>
        <v>10</v>
      </c>
      <c r="AF8" s="6">
        <f t="shared" ca="1" si="3"/>
        <v>53</v>
      </c>
      <c r="AG8" s="6" t="str">
        <f t="shared" si="4"/>
        <v>OK</v>
      </c>
      <c r="AH8" s="6" t="s">
        <v>56</v>
      </c>
      <c r="AI8" s="6" t="str">
        <f t="shared" ca="1" si="5"/>
        <v>Priority 3</v>
      </c>
      <c r="AJ8" s="3" t="str">
        <f t="shared" ca="1" si="6"/>
        <v>P1 Payments=4 | P2 47=7 | P3 Poland=12 | P4 PI Licence=6 | P5 Listed Stable=3 | P6=0 | P7 Planning to Launch (No Incumbent Yet)=4 | P8 Cloud modern, Not API-first=4 | P9 No Sponsor, Licensing Suggests Imminent=3 | P10=10</v>
      </c>
      <c r="AK8" s="3"/>
      <c r="AL8" s="3" t="s">
        <v>61</v>
      </c>
      <c r="AM8" s="3" t="s">
        <v>56</v>
      </c>
      <c r="AN8" s="3"/>
      <c r="AO8" s="3" t="s">
        <v>73</v>
      </c>
      <c r="AP8" s="3" t="str">
        <f t="shared" si="7"/>
        <v>OK</v>
      </c>
      <c r="AQ8" s="3" t="s">
        <v>84</v>
      </c>
    </row>
    <row r="9" spans="1:43" ht="99.75" customHeight="1" x14ac:dyDescent="0.2">
      <c r="A9" s="4" t="s">
        <v>85</v>
      </c>
      <c r="B9" s="4" t="s">
        <v>86</v>
      </c>
      <c r="C9" s="4" t="s">
        <v>47</v>
      </c>
      <c r="D9" s="4" t="s">
        <v>48</v>
      </c>
      <c r="E9" s="4" t="s">
        <v>66</v>
      </c>
      <c r="F9" s="4">
        <v>80</v>
      </c>
      <c r="G9" s="4" t="s">
        <v>50</v>
      </c>
      <c r="H9" s="4" t="s">
        <v>51</v>
      </c>
      <c r="I9" s="4" t="s">
        <v>87</v>
      </c>
      <c r="J9" s="5">
        <v>45703</v>
      </c>
      <c r="K9" s="4" t="s">
        <v>88</v>
      </c>
      <c r="L9" s="4" t="s">
        <v>77</v>
      </c>
      <c r="M9" s="4" t="s">
        <v>89</v>
      </c>
      <c r="N9" s="4" t="s">
        <v>56</v>
      </c>
      <c r="O9" s="4" t="s">
        <v>70</v>
      </c>
      <c r="P9" s="4">
        <v>5000</v>
      </c>
      <c r="Q9" s="4">
        <v>50000</v>
      </c>
      <c r="R9" s="4" t="s">
        <v>71</v>
      </c>
      <c r="S9" s="4" t="s">
        <v>90</v>
      </c>
      <c r="T9" s="5">
        <v>46216</v>
      </c>
      <c r="U9" s="4" t="s">
        <v>91</v>
      </c>
      <c r="V9" s="6">
        <f>IF(E9="","",IFERROR(VLOOKUP(E9,Scoring_Lookups!$A$5:$B$18,2,FALSE()),0))</f>
        <v>7</v>
      </c>
      <c r="W9" s="6">
        <f t="shared" si="0"/>
        <v>10</v>
      </c>
      <c r="X9" s="6">
        <f>IF(C9="","",IFERROR(VLOOKUP(C9,Scoring_Lookups!$D$5:$E$35,2,FALSE()),0))</f>
        <v>12</v>
      </c>
      <c r="Y9" s="6">
        <f>IF(G9="","",IFERROR(VLOOKUP(G9,Scoring_Lookups!$G$5:$H$16,2,FALSE()),0))</f>
        <v>6</v>
      </c>
      <c r="Z9" s="6">
        <f t="shared" ca="1" si="1"/>
        <v>6</v>
      </c>
      <c r="AA9" s="6">
        <f ca="1">IF(N9="Yes",0,IF(A9="",0,IF(COUNTIFS('04_Triggers'!B:B,A9,'04_Triggers'!D:D,"&gt;="&amp;(TODAY()-365))&gt;=2,20,IF(COUNTIFS('04_Triggers'!B:B,A9,'04_Triggers'!D:D,"&gt;="&amp;(TODAY()-365),'04_Triggers'!G:G,"High")&gt;=1,14,IF(COUNTIFS('04_Triggers'!B:B,A9,'04_Triggers'!D:D,"&gt;="&amp;(TODAY()-365))&gt;=1,7,IF(COUNTIFS('04_Triggers'!B:B,A9,'04_Triggers'!D:D,"&gt;="&amp;(TODAY()-1095),'04_Triggers'!D:D,"&lt;"&amp;(TODAY()-365))&gt;=1,7,0))))))</f>
        <v>7</v>
      </c>
      <c r="AB9" s="6">
        <f>IF(M9="","",IFERROR(VLOOKUP(M9,Scoring_Lookups!$J$5:$K$16,2,FALSE()),0))</f>
        <v>3</v>
      </c>
      <c r="AC9" s="6">
        <f>IF(O9="","",IFERROR(VLOOKUP(O9,Scoring_Lookups!$M$5:$N$8,2,FALSE()),0))</f>
        <v>4</v>
      </c>
      <c r="AD9" s="6">
        <f>IF(L9="","",IFERROR(VLOOKUP(L9,Scoring_Lookups!$P$5:$Q$9,2,FALSE()),0))</f>
        <v>8</v>
      </c>
      <c r="AE9" s="6">
        <f t="shared" si="2"/>
        <v>10</v>
      </c>
      <c r="AF9" s="6">
        <f t="shared" ca="1" si="3"/>
        <v>73</v>
      </c>
      <c r="AG9" s="6" t="str">
        <f t="shared" si="4"/>
        <v>OK</v>
      </c>
      <c r="AH9" s="6" t="s">
        <v>56</v>
      </c>
      <c r="AI9" s="6" t="str">
        <f t="shared" ca="1" si="5"/>
        <v>Priority 2</v>
      </c>
      <c r="AJ9" s="4" t="str">
        <f t="shared" ca="1" si="6"/>
        <v>P1 Lending (SMB)=7 | P2 80=10 | P3 Poland=12 | P4 PI Licence=6 | P5 Series A=6 | P6=7 | P7 Incumbent Unknown=3 | P8 Cloud modern, Not API-first=4 | P9 Existing BIN Sponsor Relationship=8 | P10=10</v>
      </c>
      <c r="AK9" s="4"/>
      <c r="AL9" s="4" t="s">
        <v>61</v>
      </c>
      <c r="AM9" s="4" t="s">
        <v>56</v>
      </c>
      <c r="AN9" s="4"/>
      <c r="AO9" s="4" t="s">
        <v>92</v>
      </c>
      <c r="AP9" s="4" t="str">
        <f t="shared" si="7"/>
        <v>OK</v>
      </c>
      <c r="AQ9" s="4" t="s">
        <v>63</v>
      </c>
    </row>
    <row r="10" spans="1:43" ht="99.75" customHeight="1" x14ac:dyDescent="0.2">
      <c r="A10" s="3" t="s">
        <v>93</v>
      </c>
      <c r="B10" s="3" t="s">
        <v>94</v>
      </c>
      <c r="C10" s="3" t="s">
        <v>47</v>
      </c>
      <c r="D10" s="3" t="s">
        <v>48</v>
      </c>
      <c r="E10" s="3" t="s">
        <v>95</v>
      </c>
      <c r="F10" s="3">
        <v>400</v>
      </c>
      <c r="G10" s="3" t="s">
        <v>67</v>
      </c>
      <c r="H10" s="3" t="s">
        <v>96</v>
      </c>
      <c r="I10" s="3" t="s">
        <v>97</v>
      </c>
      <c r="J10" s="3"/>
      <c r="K10" s="3" t="s">
        <v>98</v>
      </c>
      <c r="L10" s="3" t="s">
        <v>77</v>
      </c>
      <c r="M10" s="3" t="s">
        <v>89</v>
      </c>
      <c r="N10" s="3" t="s">
        <v>56</v>
      </c>
      <c r="O10" s="3" t="s">
        <v>70</v>
      </c>
      <c r="P10" s="3">
        <v>0</v>
      </c>
      <c r="Q10" s="3">
        <v>250000</v>
      </c>
      <c r="R10" s="3" t="s">
        <v>71</v>
      </c>
      <c r="S10" s="3" t="s">
        <v>59</v>
      </c>
      <c r="T10" s="7">
        <v>46216</v>
      </c>
      <c r="U10" s="3" t="s">
        <v>99</v>
      </c>
      <c r="V10" s="6">
        <f>IF(E10="","",IFERROR(VLOOKUP(E10,Scoring_Lookups!$A$5:$B$18,2,FALSE()),0))</f>
        <v>7</v>
      </c>
      <c r="W10" s="6">
        <f t="shared" si="0"/>
        <v>10</v>
      </c>
      <c r="X10" s="6">
        <f>IF(C10="","",IFERROR(VLOOKUP(C10,Scoring_Lookups!$D$5:$E$35,2,FALSE()),0))</f>
        <v>12</v>
      </c>
      <c r="Y10" s="6">
        <f>IF(G10="","",IFERROR(VLOOKUP(G10,Scoring_Lookups!$G$5:$H$16,2,FALSE()),0))</f>
        <v>6</v>
      </c>
      <c r="Z10" s="6">
        <f t="shared" ca="1" si="1"/>
        <v>6</v>
      </c>
      <c r="AA10" s="6">
        <f ca="1">IF(N10="Yes",0,IF(A10="",0,IF(COUNTIFS('04_Triggers'!B:B,A10,'04_Triggers'!D:D,"&gt;="&amp;(TODAY()-365))&gt;=2,20,IF(COUNTIFS('04_Triggers'!B:B,A10,'04_Triggers'!D:D,"&gt;="&amp;(TODAY()-365),'04_Triggers'!G:G,"High")&gt;=1,14,IF(COUNTIFS('04_Triggers'!B:B,A10,'04_Triggers'!D:D,"&gt;="&amp;(TODAY()-365))&gt;=1,7,IF(COUNTIFS('04_Triggers'!B:B,A10,'04_Triggers'!D:D,"&gt;="&amp;(TODAY()-1095),'04_Triggers'!D:D,"&lt;"&amp;(TODAY()-365))&gt;=1,7,0))))))</f>
        <v>7</v>
      </c>
      <c r="AB10" s="6">
        <f>IF(M10="","",IFERROR(VLOOKUP(M10,Scoring_Lookups!$J$5:$K$16,2,FALSE()),0))</f>
        <v>3</v>
      </c>
      <c r="AC10" s="6">
        <f>IF(O10="","",IFERROR(VLOOKUP(O10,Scoring_Lookups!$M$5:$N$8,2,FALSE()),0))</f>
        <v>4</v>
      </c>
      <c r="AD10" s="6">
        <f>IF(L10="","",IFERROR(VLOOKUP(L10,Scoring_Lookups!$P$5:$Q$9,2,FALSE()),0))</f>
        <v>8</v>
      </c>
      <c r="AE10" s="6">
        <f t="shared" si="2"/>
        <v>10</v>
      </c>
      <c r="AF10" s="6">
        <f t="shared" ca="1" si="3"/>
        <v>73</v>
      </c>
      <c r="AG10" s="6" t="str">
        <f t="shared" si="4"/>
        <v>OK</v>
      </c>
      <c r="AH10" s="6" t="s">
        <v>56</v>
      </c>
      <c r="AI10" s="6" t="str">
        <f t="shared" ca="1" si="5"/>
        <v>Priority 2</v>
      </c>
      <c r="AJ10" s="3" t="str">
        <f t="shared" ca="1" si="6"/>
        <v>P1 Lending (Consumer)=7 | P2 400=10 | P3 Poland=12 | P4 BIN Sponsor Agreement In Place=6 | P5 PE-controlled Stable=6 | P6=7 | P7 Incumbent Unknown=3 | P8 Cloud modern, Not API-first=4 | P9 Existing BIN Sponsor Relationship=8 | P10=10</v>
      </c>
      <c r="AK10" s="3"/>
      <c r="AL10" s="3" t="s">
        <v>61</v>
      </c>
      <c r="AM10" s="3" t="s">
        <v>56</v>
      </c>
      <c r="AN10" s="3"/>
      <c r="AO10" s="3" t="s">
        <v>100</v>
      </c>
      <c r="AP10" s="3" t="str">
        <f t="shared" si="7"/>
        <v>OK</v>
      </c>
      <c r="AQ10" s="3" t="s">
        <v>84</v>
      </c>
    </row>
    <row r="11" spans="1:43" ht="99.75" customHeight="1" x14ac:dyDescent="0.2">
      <c r="A11" s="4" t="s">
        <v>101</v>
      </c>
      <c r="B11" s="4" t="s">
        <v>102</v>
      </c>
      <c r="C11" s="4" t="s">
        <v>47</v>
      </c>
      <c r="D11" s="4" t="s">
        <v>48</v>
      </c>
      <c r="E11" s="4" t="s">
        <v>66</v>
      </c>
      <c r="F11" s="4">
        <v>20</v>
      </c>
      <c r="G11" s="4" t="s">
        <v>67</v>
      </c>
      <c r="H11" s="4" t="s">
        <v>51</v>
      </c>
      <c r="I11" s="4" t="s">
        <v>52</v>
      </c>
      <c r="J11" s="5">
        <v>45901</v>
      </c>
      <c r="K11" s="4" t="s">
        <v>53</v>
      </c>
      <c r="L11" s="4" t="s">
        <v>54</v>
      </c>
      <c r="M11" s="4" t="s">
        <v>55</v>
      </c>
      <c r="N11" s="4" t="s">
        <v>56</v>
      </c>
      <c r="O11" s="4" t="s">
        <v>57</v>
      </c>
      <c r="P11" s="4">
        <v>0</v>
      </c>
      <c r="Q11" s="4">
        <v>30000</v>
      </c>
      <c r="R11" s="4" t="s">
        <v>58</v>
      </c>
      <c r="S11" s="4" t="s">
        <v>59</v>
      </c>
      <c r="T11" s="5">
        <v>46216</v>
      </c>
      <c r="U11" s="4" t="s">
        <v>103</v>
      </c>
      <c r="V11" s="6">
        <f>IF(E11="","",IFERROR(VLOOKUP(E11,Scoring_Lookups!$A$5:$B$18,2,FALSE()),0))</f>
        <v>7</v>
      </c>
      <c r="W11" s="6">
        <f t="shared" si="0"/>
        <v>7</v>
      </c>
      <c r="X11" s="6">
        <f>IF(C11="","",IFERROR(VLOOKUP(C11,Scoring_Lookups!$D$5:$E$35,2,FALSE()),0))</f>
        <v>12</v>
      </c>
      <c r="Y11" s="6">
        <f>IF(G11="","",IFERROR(VLOOKUP(G11,Scoring_Lookups!$G$5:$H$16,2,FALSE()),0))</f>
        <v>6</v>
      </c>
      <c r="Z11" s="6">
        <f t="shared" ca="1" si="1"/>
        <v>3</v>
      </c>
      <c r="AA11" s="6">
        <f ca="1">IF(N11="Yes",0,IF(A11="",0,IF(COUNTIFS('04_Triggers'!B:B,A11,'04_Triggers'!D:D,"&gt;="&amp;(TODAY()-365))&gt;=2,20,IF(COUNTIFS('04_Triggers'!B:B,A11,'04_Triggers'!D:D,"&gt;="&amp;(TODAY()-365),'04_Triggers'!G:G,"High")&gt;=1,14,IF(COUNTIFS('04_Triggers'!B:B,A11,'04_Triggers'!D:D,"&gt;="&amp;(TODAY()-365))&gt;=1,7,IF(COUNTIFS('04_Triggers'!B:B,A11,'04_Triggers'!D:D,"&gt;="&amp;(TODAY()-1095),'04_Triggers'!D:D,"&lt;"&amp;(TODAY()-365))&gt;=1,7,0))))))</f>
        <v>14</v>
      </c>
      <c r="AB11" s="6">
        <f>IF(M11="","",IFERROR(VLOOKUP(M11,Scoring_Lookups!$J$5:$K$16,2,FALSE()),0))</f>
        <v>4</v>
      </c>
      <c r="AC11" s="6">
        <f>IF(O11="","",IFERROR(VLOOKUP(O11,Scoring_Lookups!$M$5:$N$8,2,FALSE()),0))</f>
        <v>6</v>
      </c>
      <c r="AD11" s="6">
        <f>IF(L11="","",IFERROR(VLOOKUP(L11,Scoring_Lookups!$P$5:$Q$9,2,FALSE()),0))</f>
        <v>3</v>
      </c>
      <c r="AE11" s="6">
        <f t="shared" si="2"/>
        <v>4</v>
      </c>
      <c r="AF11" s="6">
        <f t="shared" ca="1" si="3"/>
        <v>66</v>
      </c>
      <c r="AG11" s="6" t="str">
        <f t="shared" si="4"/>
        <v>OK</v>
      </c>
      <c r="AH11" s="6" t="s">
        <v>56</v>
      </c>
      <c r="AI11" s="6" t="str">
        <f t="shared" ca="1" si="5"/>
        <v>Priority 2</v>
      </c>
      <c r="AJ11" s="4" t="str">
        <f t="shared" ca="1" si="6"/>
        <v>P1 Lending (SMB)=7 | P2 20=7 | P3 Poland=12 | P4 BIN Sponsor Agreement In Place=6 | P5 Seed=3 | P6=14 | P7 Planning to Launch (No Incumbent Yet)=4 | P8 Cloud-native (AWS/Azure/GCP), API-first, AI signals=6 | P9 No Sponsor, Licensing Suggests Imminent=3 | P10=4</v>
      </c>
      <c r="AK11" s="4"/>
      <c r="AL11" s="4" t="s">
        <v>61</v>
      </c>
      <c r="AM11" s="4" t="s">
        <v>56</v>
      </c>
      <c r="AN11" s="4"/>
      <c r="AO11" s="4" t="s">
        <v>100</v>
      </c>
      <c r="AP11" s="4" t="str">
        <f t="shared" si="7"/>
        <v>OK</v>
      </c>
      <c r="AQ11" s="4" t="s">
        <v>63</v>
      </c>
    </row>
    <row r="12" spans="1:43" ht="99.75" customHeight="1" x14ac:dyDescent="0.2">
      <c r="A12" s="3" t="s">
        <v>104</v>
      </c>
      <c r="B12" s="3" t="s">
        <v>105</v>
      </c>
      <c r="C12" s="3" t="s">
        <v>47</v>
      </c>
      <c r="D12" s="3" t="s">
        <v>48</v>
      </c>
      <c r="E12" s="3" t="s">
        <v>95</v>
      </c>
      <c r="F12" s="3">
        <v>75</v>
      </c>
      <c r="G12" s="3" t="s">
        <v>50</v>
      </c>
      <c r="H12" s="3" t="s">
        <v>51</v>
      </c>
      <c r="I12" s="3" t="s">
        <v>87</v>
      </c>
      <c r="J12" s="7">
        <v>44679</v>
      </c>
      <c r="K12" s="3" t="s">
        <v>53</v>
      </c>
      <c r="L12" s="3" t="s">
        <v>54</v>
      </c>
      <c r="M12" s="3" t="s">
        <v>55</v>
      </c>
      <c r="N12" s="3" t="s">
        <v>56</v>
      </c>
      <c r="O12" s="3" t="s">
        <v>57</v>
      </c>
      <c r="P12" s="3">
        <v>0</v>
      </c>
      <c r="Q12" s="3">
        <v>40000</v>
      </c>
      <c r="R12" s="3" t="s">
        <v>58</v>
      </c>
      <c r="S12" s="3" t="s">
        <v>90</v>
      </c>
      <c r="T12" s="7">
        <v>46216</v>
      </c>
      <c r="U12" s="3" t="s">
        <v>106</v>
      </c>
      <c r="V12" s="6">
        <f>IF(E12="","",IFERROR(VLOOKUP(E12,Scoring_Lookups!$A$5:$B$18,2,FALSE()),0))</f>
        <v>7</v>
      </c>
      <c r="W12" s="6">
        <f t="shared" si="0"/>
        <v>10</v>
      </c>
      <c r="X12" s="6">
        <f>IF(C12="","",IFERROR(VLOOKUP(C12,Scoring_Lookups!$D$5:$E$35,2,FALSE()),0))</f>
        <v>12</v>
      </c>
      <c r="Y12" s="6">
        <f>IF(G12="","",IFERROR(VLOOKUP(G12,Scoring_Lookups!$G$5:$H$16,2,FALSE()),0))</f>
        <v>6</v>
      </c>
      <c r="Z12" s="6">
        <f t="shared" ca="1" si="1"/>
        <v>6</v>
      </c>
      <c r="AA12" s="6">
        <f ca="1">IF(N12="Yes",0,IF(A12="",0,IF(COUNTIFS('04_Triggers'!B:B,A12,'04_Triggers'!D:D,"&gt;="&amp;(TODAY()-365))&gt;=2,20,IF(COUNTIFS('04_Triggers'!B:B,A12,'04_Triggers'!D:D,"&gt;="&amp;(TODAY()-365),'04_Triggers'!G:G,"High")&gt;=1,14,IF(COUNTIFS('04_Triggers'!B:B,A12,'04_Triggers'!D:D,"&gt;="&amp;(TODAY()-365))&gt;=1,7,IF(COUNTIFS('04_Triggers'!B:B,A12,'04_Triggers'!D:D,"&gt;="&amp;(TODAY()-1095),'04_Triggers'!D:D,"&lt;"&amp;(TODAY()-365))&gt;=1,7,0))))))</f>
        <v>0</v>
      </c>
      <c r="AB12" s="6">
        <f>IF(M12="","",IFERROR(VLOOKUP(M12,Scoring_Lookups!$J$5:$K$16,2,FALSE()),0))</f>
        <v>4</v>
      </c>
      <c r="AC12" s="6">
        <f>IF(O12="","",IFERROR(VLOOKUP(O12,Scoring_Lookups!$M$5:$N$8,2,FALSE()),0))</f>
        <v>6</v>
      </c>
      <c r="AD12" s="6">
        <f>IF(L12="","",IFERROR(VLOOKUP(L12,Scoring_Lookups!$P$5:$Q$9,2,FALSE()),0))</f>
        <v>3</v>
      </c>
      <c r="AE12" s="6">
        <f t="shared" si="2"/>
        <v>4</v>
      </c>
      <c r="AF12" s="6">
        <f t="shared" ca="1" si="3"/>
        <v>58</v>
      </c>
      <c r="AG12" s="6" t="str">
        <f t="shared" si="4"/>
        <v>OK</v>
      </c>
      <c r="AH12" s="6" t="s">
        <v>56</v>
      </c>
      <c r="AI12" s="6" t="str">
        <f t="shared" ca="1" si="5"/>
        <v>Priority 3</v>
      </c>
      <c r="AJ12" s="3" t="str">
        <f t="shared" ca="1" si="6"/>
        <v>P1 Lending (Consumer)=7 | P2 75=10 | P3 Poland=12 | P4 PI Licence=6 | P5 Series A=6 | P6=0 | P7 Planning to Launch (No Incumbent Yet)=4 | P8 Cloud-native (AWS/Azure/GCP), API-first, AI signals=6 | P9 No Sponsor, Licensing Suggests Imminent=3 | P10=4</v>
      </c>
      <c r="AK12" s="3"/>
      <c r="AL12" s="3" t="s">
        <v>61</v>
      </c>
      <c r="AM12" s="3" t="s">
        <v>56</v>
      </c>
      <c r="AN12" s="3"/>
      <c r="AO12" s="3" t="s">
        <v>73</v>
      </c>
      <c r="AP12" s="3" t="str">
        <f t="shared" si="7"/>
        <v>OK</v>
      </c>
      <c r="AQ12" s="3" t="s">
        <v>107</v>
      </c>
    </row>
    <row r="13" spans="1:43" ht="99.75" customHeight="1" x14ac:dyDescent="0.2">
      <c r="A13" s="4" t="s">
        <v>108</v>
      </c>
      <c r="B13" s="4" t="s">
        <v>109</v>
      </c>
      <c r="C13" s="4" t="s">
        <v>47</v>
      </c>
      <c r="D13" s="4" t="s">
        <v>48</v>
      </c>
      <c r="E13" s="4" t="s">
        <v>110</v>
      </c>
      <c r="F13" s="4">
        <v>125</v>
      </c>
      <c r="G13" s="4" t="s">
        <v>50</v>
      </c>
      <c r="H13" s="4" t="s">
        <v>68</v>
      </c>
      <c r="I13" s="4" t="s">
        <v>69</v>
      </c>
      <c r="J13" s="4"/>
      <c r="K13" s="4" t="s">
        <v>53</v>
      </c>
      <c r="L13" s="4" t="s">
        <v>54</v>
      </c>
      <c r="M13" s="4" t="s">
        <v>55</v>
      </c>
      <c r="N13" s="4" t="s">
        <v>56</v>
      </c>
      <c r="O13" s="4" t="s">
        <v>70</v>
      </c>
      <c r="P13" s="4">
        <v>0</v>
      </c>
      <c r="Q13" s="4">
        <v>80000</v>
      </c>
      <c r="R13" s="4" t="s">
        <v>58</v>
      </c>
      <c r="S13" s="4" t="s">
        <v>90</v>
      </c>
      <c r="T13" s="5">
        <v>46216</v>
      </c>
      <c r="U13" s="4" t="s">
        <v>111</v>
      </c>
      <c r="V13" s="6">
        <f>IF(E13="","",IFERROR(VLOOKUP(E13,Scoring_Lookups!$A$5:$B$18,2,FALSE()),0))</f>
        <v>7</v>
      </c>
      <c r="W13" s="6">
        <f t="shared" si="0"/>
        <v>10</v>
      </c>
      <c r="X13" s="6">
        <f>IF(C13="","",IFERROR(VLOOKUP(C13,Scoring_Lookups!$D$5:$E$35,2,FALSE()),0))</f>
        <v>12</v>
      </c>
      <c r="Y13" s="6">
        <f>IF(G13="","",IFERROR(VLOOKUP(G13,Scoring_Lookups!$G$5:$H$16,2,FALSE()),0))</f>
        <v>6</v>
      </c>
      <c r="Z13" s="6">
        <f t="shared" ca="1" si="1"/>
        <v>6</v>
      </c>
      <c r="AA13" s="6">
        <f ca="1">IF(N13="Yes",0,IF(A13="",0,IF(COUNTIFS('04_Triggers'!B:B,A13,'04_Triggers'!D:D,"&gt;="&amp;(TODAY()-365))&gt;=2,20,IF(COUNTIFS('04_Triggers'!B:B,A13,'04_Triggers'!D:D,"&gt;="&amp;(TODAY()-365),'04_Triggers'!G:G,"High")&gt;=1,14,IF(COUNTIFS('04_Triggers'!B:B,A13,'04_Triggers'!D:D,"&gt;="&amp;(TODAY()-365))&gt;=1,7,IF(COUNTIFS('04_Triggers'!B:B,A13,'04_Triggers'!D:D,"&gt;="&amp;(TODAY()-1095),'04_Triggers'!D:D,"&lt;"&amp;(TODAY()-365))&gt;=1,7,0))))))</f>
        <v>0</v>
      </c>
      <c r="AB13" s="6">
        <f>IF(M13="","",IFERROR(VLOOKUP(M13,Scoring_Lookups!$J$5:$K$16,2,FALSE()),0))</f>
        <v>4</v>
      </c>
      <c r="AC13" s="6">
        <f>IF(O13="","",IFERROR(VLOOKUP(O13,Scoring_Lookups!$M$5:$N$8,2,FALSE()),0))</f>
        <v>4</v>
      </c>
      <c r="AD13" s="6">
        <f>IF(L13="","",IFERROR(VLOOKUP(L13,Scoring_Lookups!$P$5:$Q$9,2,FALSE()),0))</f>
        <v>3</v>
      </c>
      <c r="AE13" s="6">
        <f t="shared" si="2"/>
        <v>4</v>
      </c>
      <c r="AF13" s="6">
        <f t="shared" ca="1" si="3"/>
        <v>56</v>
      </c>
      <c r="AG13" s="6" t="str">
        <f t="shared" si="4"/>
        <v>OK</v>
      </c>
      <c r="AH13" s="6" t="s">
        <v>56</v>
      </c>
      <c r="AI13" s="6" t="str">
        <f t="shared" ca="1" si="5"/>
        <v>Priority 3</v>
      </c>
      <c r="AJ13" s="4" t="str">
        <f t="shared" ca="1" si="6"/>
        <v>P1 FX Payments=7 | P2 125=10 | P3 Poland=12 | P4 PI Licence=6 | P5 Bootstrapped Profitable=6 | P6=0 | P7 Planning to Launch (No Incumbent Yet)=4 | P8 Cloud modern, Not API-first=4 | P9 No Sponsor, Licensing Suggests Imminent=3 | P10=4</v>
      </c>
      <c r="AK13" s="4"/>
      <c r="AL13" s="4" t="s">
        <v>61</v>
      </c>
      <c r="AM13" s="4" t="s">
        <v>56</v>
      </c>
      <c r="AN13" s="4"/>
      <c r="AO13" s="4" t="s">
        <v>100</v>
      </c>
      <c r="AP13" s="4" t="str">
        <f t="shared" si="7"/>
        <v>OK</v>
      </c>
      <c r="AQ13" s="4" t="s">
        <v>84</v>
      </c>
    </row>
    <row r="14" spans="1:43" ht="99.75" customHeight="1" x14ac:dyDescent="0.2">
      <c r="A14" s="3" t="s">
        <v>112</v>
      </c>
      <c r="B14" s="3" t="s">
        <v>113</v>
      </c>
      <c r="C14" s="3" t="s">
        <v>47</v>
      </c>
      <c r="D14" s="3" t="s">
        <v>48</v>
      </c>
      <c r="E14" s="3" t="s">
        <v>49</v>
      </c>
      <c r="F14" s="3">
        <v>281</v>
      </c>
      <c r="G14" s="3" t="s">
        <v>50</v>
      </c>
      <c r="H14" s="3" t="s">
        <v>68</v>
      </c>
      <c r="I14" s="3" t="s">
        <v>69</v>
      </c>
      <c r="J14" s="3"/>
      <c r="K14" s="3" t="s">
        <v>53</v>
      </c>
      <c r="L14" s="3" t="s">
        <v>114</v>
      </c>
      <c r="M14" s="3" t="s">
        <v>55</v>
      </c>
      <c r="N14" s="3" t="s">
        <v>56</v>
      </c>
      <c r="O14" s="3" t="s">
        <v>70</v>
      </c>
      <c r="P14" s="3">
        <v>0</v>
      </c>
      <c r="Q14" s="3">
        <v>150000</v>
      </c>
      <c r="R14" s="3" t="s">
        <v>71</v>
      </c>
      <c r="S14" s="3" t="s">
        <v>90</v>
      </c>
      <c r="T14" s="7">
        <v>46216</v>
      </c>
      <c r="U14" s="3" t="s">
        <v>115</v>
      </c>
      <c r="V14" s="6">
        <f>IF(E14="","",IFERROR(VLOOKUP(E14,Scoring_Lookups!$A$5:$B$18,2,FALSE()),0))</f>
        <v>4</v>
      </c>
      <c r="W14" s="6">
        <f t="shared" si="0"/>
        <v>10</v>
      </c>
      <c r="X14" s="6">
        <f>IF(C14="","",IFERROR(VLOOKUP(C14,Scoring_Lookups!$D$5:$E$35,2,FALSE()),0))</f>
        <v>12</v>
      </c>
      <c r="Y14" s="6">
        <f>IF(G14="","",IFERROR(VLOOKUP(G14,Scoring_Lookups!$G$5:$H$16,2,FALSE()),0))</f>
        <v>6</v>
      </c>
      <c r="Z14" s="6">
        <f t="shared" ca="1" si="1"/>
        <v>6</v>
      </c>
      <c r="AA14" s="6">
        <f ca="1">IF(N14="Yes",0,IF(A14="",0,IF(COUNTIFS('04_Triggers'!B:B,A14,'04_Triggers'!D:D,"&gt;="&amp;(TODAY()-365))&gt;=2,20,IF(COUNTIFS('04_Triggers'!B:B,A14,'04_Triggers'!D:D,"&gt;="&amp;(TODAY()-365),'04_Triggers'!G:G,"High")&gt;=1,14,IF(COUNTIFS('04_Triggers'!B:B,A14,'04_Triggers'!D:D,"&gt;="&amp;(TODAY()-365))&gt;=1,7,IF(COUNTIFS('04_Triggers'!B:B,A14,'04_Triggers'!D:D,"&gt;="&amp;(TODAY()-1095),'04_Triggers'!D:D,"&lt;"&amp;(TODAY()-365))&gt;=1,7,0))))))</f>
        <v>7</v>
      </c>
      <c r="AB14" s="6">
        <f>IF(M14="","",IFERROR(VLOOKUP(M14,Scoring_Lookups!$J$5:$K$16,2,FALSE()),0))</f>
        <v>4</v>
      </c>
      <c r="AC14" s="6">
        <f>IF(O14="","",IFERROR(VLOOKUP(O14,Scoring_Lookups!$M$5:$N$8,2,FALSE()),0))</f>
        <v>4</v>
      </c>
      <c r="AD14" s="6">
        <f>IF(L14="","",IFERROR(VLOOKUP(L14,Scoring_Lookups!$P$5:$Q$9,2,FALSE()),0))</f>
        <v>6</v>
      </c>
      <c r="AE14" s="6">
        <f t="shared" si="2"/>
        <v>10</v>
      </c>
      <c r="AF14" s="6">
        <f t="shared" ca="1" si="3"/>
        <v>69</v>
      </c>
      <c r="AG14" s="6" t="str">
        <f t="shared" si="4"/>
        <v>OK</v>
      </c>
      <c r="AH14" s="6" t="s">
        <v>56</v>
      </c>
      <c r="AI14" s="6" t="str">
        <f t="shared" ca="1" si="5"/>
        <v>Priority 2</v>
      </c>
      <c r="AJ14" s="3" t="str">
        <f t="shared" ca="1" si="6"/>
        <v>P1 Payments=4 | P2 281=10 | P3 Poland=12 | P4 PI Licence=6 | P5 Bootstrapped Profitable=6 | P6=7 | P7 Planning to Launch (No Incumbent Yet)=4 | P8 Cloud modern, Not API-first=4 | P9 Scheme Participation Visible=6 | P10=10</v>
      </c>
      <c r="AK14" s="3"/>
      <c r="AL14" s="3" t="s">
        <v>61</v>
      </c>
      <c r="AM14" s="3" t="s">
        <v>56</v>
      </c>
      <c r="AN14" s="3"/>
      <c r="AO14" s="3" t="s">
        <v>62</v>
      </c>
      <c r="AP14" s="3" t="str">
        <f t="shared" si="7"/>
        <v>OK</v>
      </c>
      <c r="AQ14" s="3" t="s">
        <v>84</v>
      </c>
    </row>
    <row r="15" spans="1:43" ht="99.75" customHeight="1" x14ac:dyDescent="0.2">
      <c r="A15" s="4" t="s">
        <v>116</v>
      </c>
      <c r="B15" s="4" t="s">
        <v>117</v>
      </c>
      <c r="C15" s="4" t="s">
        <v>47</v>
      </c>
      <c r="D15" s="4" t="s">
        <v>48</v>
      </c>
      <c r="E15" s="4" t="s">
        <v>95</v>
      </c>
      <c r="F15" s="4">
        <v>125</v>
      </c>
      <c r="G15" s="4" t="s">
        <v>118</v>
      </c>
      <c r="H15" s="4" t="s">
        <v>68</v>
      </c>
      <c r="I15" s="4" t="s">
        <v>69</v>
      </c>
      <c r="J15" s="4"/>
      <c r="K15" s="4" t="s">
        <v>53</v>
      </c>
      <c r="L15" s="4" t="s">
        <v>54</v>
      </c>
      <c r="M15" s="4" t="s">
        <v>55</v>
      </c>
      <c r="N15" s="4" t="s">
        <v>56</v>
      </c>
      <c r="O15" s="4" t="s">
        <v>70</v>
      </c>
      <c r="P15" s="4">
        <v>0</v>
      </c>
      <c r="Q15" s="4">
        <v>100000</v>
      </c>
      <c r="R15" s="4" t="s">
        <v>58</v>
      </c>
      <c r="S15" s="4" t="s">
        <v>59</v>
      </c>
      <c r="T15" s="5">
        <v>46216</v>
      </c>
      <c r="U15" s="4" t="s">
        <v>119</v>
      </c>
      <c r="V15" s="6">
        <f>IF(E15="","",IFERROR(VLOOKUP(E15,Scoring_Lookups!$A$5:$B$18,2,FALSE()),0))</f>
        <v>7</v>
      </c>
      <c r="W15" s="6">
        <f t="shared" si="0"/>
        <v>10</v>
      </c>
      <c r="X15" s="6">
        <f>IF(C15="","",IFERROR(VLOOKUP(C15,Scoring_Lookups!$D$5:$E$35,2,FALSE()),0))</f>
        <v>12</v>
      </c>
      <c r="Y15" s="6">
        <f>IF(G15="","",IFERROR(VLOOKUP(G15,Scoring_Lookups!$G$5:$H$16,2,FALSE()),0))</f>
        <v>3</v>
      </c>
      <c r="Z15" s="6">
        <f t="shared" ca="1" si="1"/>
        <v>6</v>
      </c>
      <c r="AA15" s="6">
        <f ca="1">IF(N15="Yes",0,IF(A15="",0,IF(COUNTIFS('04_Triggers'!B:B,A15,'04_Triggers'!D:D,"&gt;="&amp;(TODAY()-365))&gt;=2,20,IF(COUNTIFS('04_Triggers'!B:B,A15,'04_Triggers'!D:D,"&gt;="&amp;(TODAY()-365),'04_Triggers'!G:G,"High")&gt;=1,14,IF(COUNTIFS('04_Triggers'!B:B,A15,'04_Triggers'!D:D,"&gt;="&amp;(TODAY()-365))&gt;=1,7,IF(COUNTIFS('04_Triggers'!B:B,A15,'04_Triggers'!D:D,"&gt;="&amp;(TODAY()-1095),'04_Triggers'!D:D,"&lt;"&amp;(TODAY()-365))&gt;=1,7,0))))))</f>
        <v>0</v>
      </c>
      <c r="AB15" s="6">
        <f>IF(M15="","",IFERROR(VLOOKUP(M15,Scoring_Lookups!$J$5:$K$16,2,FALSE()),0))</f>
        <v>4</v>
      </c>
      <c r="AC15" s="6">
        <f>IF(O15="","",IFERROR(VLOOKUP(O15,Scoring_Lookups!$M$5:$N$8,2,FALSE()),0))</f>
        <v>4</v>
      </c>
      <c r="AD15" s="6">
        <f>IF(L15="","",IFERROR(VLOOKUP(L15,Scoring_Lookups!$P$5:$Q$9,2,FALSE()),0))</f>
        <v>3</v>
      </c>
      <c r="AE15" s="6">
        <f t="shared" si="2"/>
        <v>7</v>
      </c>
      <c r="AF15" s="6">
        <f t="shared" ca="1" si="3"/>
        <v>56</v>
      </c>
      <c r="AG15" s="6" t="str">
        <f t="shared" si="4"/>
        <v>OK</v>
      </c>
      <c r="AH15" s="6" t="s">
        <v>56</v>
      </c>
      <c r="AI15" s="6" t="str">
        <f t="shared" ca="1" si="5"/>
        <v>Priority 3</v>
      </c>
      <c r="AJ15" s="4" t="str">
        <f t="shared" ca="1" si="6"/>
        <v>P1 Lending (Consumer)=7 | P2 125=10 | P3 Poland=12 | P4 No Licence, BIN Sponsor Engaged=3 | P5 Bootstrapped Profitable=6 | P6=0 | P7 Planning to Launch (No Incumbent Yet)=4 | P8 Cloud modern, Not API-first=4 | P9 No Sponsor, Licensing Suggests Imminent=3 | P10=7</v>
      </c>
      <c r="AK15" s="4"/>
      <c r="AL15" s="4" t="s">
        <v>61</v>
      </c>
      <c r="AM15" s="4" t="s">
        <v>56</v>
      </c>
      <c r="AN15" s="4"/>
      <c r="AO15" s="4" t="s">
        <v>100</v>
      </c>
      <c r="AP15" s="4" t="str">
        <f t="shared" si="7"/>
        <v>OK</v>
      </c>
      <c r="AQ15" s="4" t="s">
        <v>84</v>
      </c>
    </row>
    <row r="16" spans="1:43" ht="99.75" customHeight="1" x14ac:dyDescent="0.2">
      <c r="A16" s="3" t="s">
        <v>120</v>
      </c>
      <c r="B16" s="3" t="s">
        <v>121</v>
      </c>
      <c r="C16" s="3" t="s">
        <v>47</v>
      </c>
      <c r="D16" s="3" t="s">
        <v>48</v>
      </c>
      <c r="E16" s="3" t="s">
        <v>49</v>
      </c>
      <c r="F16" s="3">
        <v>30</v>
      </c>
      <c r="G16" s="3" t="s">
        <v>50</v>
      </c>
      <c r="H16" s="3" t="s">
        <v>51</v>
      </c>
      <c r="I16" s="3" t="s">
        <v>52</v>
      </c>
      <c r="J16" s="7">
        <v>45292</v>
      </c>
      <c r="K16" s="3" t="s">
        <v>53</v>
      </c>
      <c r="L16" s="3" t="s">
        <v>54</v>
      </c>
      <c r="M16" s="3" t="s">
        <v>55</v>
      </c>
      <c r="N16" s="3" t="s">
        <v>56</v>
      </c>
      <c r="O16" s="3" t="s">
        <v>57</v>
      </c>
      <c r="P16" s="3">
        <v>0</v>
      </c>
      <c r="Q16" s="3">
        <v>25000</v>
      </c>
      <c r="R16" s="3" t="s">
        <v>58</v>
      </c>
      <c r="S16" s="3" t="s">
        <v>59</v>
      </c>
      <c r="T16" s="7">
        <v>46216</v>
      </c>
      <c r="U16" s="3" t="s">
        <v>122</v>
      </c>
      <c r="V16" s="6">
        <f>IF(E16="","",IFERROR(VLOOKUP(E16,Scoring_Lookups!$A$5:$B$18,2,FALSE()),0))</f>
        <v>4</v>
      </c>
      <c r="W16" s="6">
        <f t="shared" si="0"/>
        <v>7</v>
      </c>
      <c r="X16" s="6">
        <f>IF(C16="","",IFERROR(VLOOKUP(C16,Scoring_Lookups!$D$5:$E$35,2,FALSE()),0))</f>
        <v>12</v>
      </c>
      <c r="Y16" s="6">
        <f>IF(G16="","",IFERROR(VLOOKUP(G16,Scoring_Lookups!$G$5:$H$16,2,FALSE()),0))</f>
        <v>6</v>
      </c>
      <c r="Z16" s="6">
        <f t="shared" ca="1" si="1"/>
        <v>3</v>
      </c>
      <c r="AA16" s="6">
        <f ca="1">IF(N16="Yes",0,IF(A16="",0,IF(COUNTIFS('04_Triggers'!B:B,A16,'04_Triggers'!D:D,"&gt;="&amp;(TODAY()-365))&gt;=2,20,IF(COUNTIFS('04_Triggers'!B:B,A16,'04_Triggers'!D:D,"&gt;="&amp;(TODAY()-365),'04_Triggers'!G:G,"High")&gt;=1,14,IF(COUNTIFS('04_Triggers'!B:B,A16,'04_Triggers'!D:D,"&gt;="&amp;(TODAY()-365))&gt;=1,7,IF(COUNTIFS('04_Triggers'!B:B,A16,'04_Triggers'!D:D,"&gt;="&amp;(TODAY()-1095),'04_Triggers'!D:D,"&lt;"&amp;(TODAY()-365))&gt;=1,7,0))))))</f>
        <v>0</v>
      </c>
      <c r="AB16" s="6">
        <f>IF(M16="","",IFERROR(VLOOKUP(M16,Scoring_Lookups!$J$5:$K$16,2,FALSE()),0))</f>
        <v>4</v>
      </c>
      <c r="AC16" s="6">
        <f>IF(O16="","",IFERROR(VLOOKUP(O16,Scoring_Lookups!$M$5:$N$8,2,FALSE()),0))</f>
        <v>6</v>
      </c>
      <c r="AD16" s="6">
        <f>IF(L16="","",IFERROR(VLOOKUP(L16,Scoring_Lookups!$P$5:$Q$9,2,FALSE()),0))</f>
        <v>3</v>
      </c>
      <c r="AE16" s="6">
        <f t="shared" si="2"/>
        <v>4</v>
      </c>
      <c r="AF16" s="6">
        <f t="shared" ca="1" si="3"/>
        <v>49</v>
      </c>
      <c r="AG16" s="6" t="str">
        <f t="shared" si="4"/>
        <v>OK</v>
      </c>
      <c r="AH16" s="6" t="s">
        <v>56</v>
      </c>
      <c r="AI16" s="6" t="str">
        <f t="shared" ca="1" si="5"/>
        <v>Priority 3</v>
      </c>
      <c r="AJ16" s="3" t="str">
        <f t="shared" ca="1" si="6"/>
        <v>P1 Payments=4 | P2 30=7 | P3 Poland=12 | P4 PI Licence=6 | P5 Seed=3 | P6=0 | P7 Planning to Launch (No Incumbent Yet)=4 | P8 Cloud-native (AWS/Azure/GCP), API-first, AI signals=6 | P9 No Sponsor, Licensing Suggests Imminent=3 | P10=4</v>
      </c>
      <c r="AK16" s="3"/>
      <c r="AL16" s="3" t="s">
        <v>61</v>
      </c>
      <c r="AM16" s="3" t="s">
        <v>56</v>
      </c>
      <c r="AN16" s="3"/>
      <c r="AO16" s="3" t="s">
        <v>73</v>
      </c>
      <c r="AP16" s="3" t="str">
        <f t="shared" si="7"/>
        <v>OK</v>
      </c>
      <c r="AQ16" s="3" t="s">
        <v>84</v>
      </c>
    </row>
    <row r="17" spans="1:43" ht="99.75" customHeight="1" x14ac:dyDescent="0.2">
      <c r="A17" s="4" t="s">
        <v>123</v>
      </c>
      <c r="B17" s="4" t="s">
        <v>124</v>
      </c>
      <c r="C17" s="4" t="s">
        <v>47</v>
      </c>
      <c r="D17" s="4" t="s">
        <v>48</v>
      </c>
      <c r="E17" s="4" t="s">
        <v>95</v>
      </c>
      <c r="F17" s="4">
        <v>199</v>
      </c>
      <c r="G17" s="4" t="s">
        <v>67</v>
      </c>
      <c r="H17" s="4" t="s">
        <v>51</v>
      </c>
      <c r="I17" s="4" t="s">
        <v>87</v>
      </c>
      <c r="J17" s="4"/>
      <c r="K17" s="4" t="s">
        <v>53</v>
      </c>
      <c r="L17" s="4" t="s">
        <v>77</v>
      </c>
      <c r="M17" s="4" t="s">
        <v>89</v>
      </c>
      <c r="N17" s="4" t="s">
        <v>56</v>
      </c>
      <c r="O17" s="4" t="s">
        <v>70</v>
      </c>
      <c r="P17" s="4">
        <v>200000</v>
      </c>
      <c r="Q17" s="4">
        <v>400000</v>
      </c>
      <c r="R17" s="4" t="s">
        <v>71</v>
      </c>
      <c r="S17" s="4" t="s">
        <v>90</v>
      </c>
      <c r="T17" s="5">
        <v>46216</v>
      </c>
      <c r="U17" s="4" t="s">
        <v>125</v>
      </c>
      <c r="V17" s="6">
        <f>IF(E17="","",IFERROR(VLOOKUP(E17,Scoring_Lookups!$A$5:$B$18,2,FALSE()),0))</f>
        <v>7</v>
      </c>
      <c r="W17" s="6">
        <f t="shared" si="0"/>
        <v>10</v>
      </c>
      <c r="X17" s="6">
        <f>IF(C17="","",IFERROR(VLOOKUP(C17,Scoring_Lookups!$D$5:$E$35,2,FALSE()),0))</f>
        <v>12</v>
      </c>
      <c r="Y17" s="6">
        <f>IF(G17="","",IFERROR(VLOOKUP(G17,Scoring_Lookups!$G$5:$H$16,2,FALSE()),0))</f>
        <v>6</v>
      </c>
      <c r="Z17" s="6">
        <f t="shared" ca="1" si="1"/>
        <v>6</v>
      </c>
      <c r="AA17" s="6">
        <f ca="1">IF(N17="Yes",0,IF(A17="",0,IF(COUNTIFS('04_Triggers'!B:B,A17,'04_Triggers'!D:D,"&gt;="&amp;(TODAY()-365))&gt;=2,20,IF(COUNTIFS('04_Triggers'!B:B,A17,'04_Triggers'!D:D,"&gt;="&amp;(TODAY()-365),'04_Triggers'!G:G,"High")&gt;=1,14,IF(COUNTIFS('04_Triggers'!B:B,A17,'04_Triggers'!D:D,"&gt;="&amp;(TODAY()-365))&gt;=1,7,IF(COUNTIFS('04_Triggers'!B:B,A17,'04_Triggers'!D:D,"&gt;="&amp;(TODAY()-1095),'04_Triggers'!D:D,"&lt;"&amp;(TODAY()-365))&gt;=1,7,0))))))</f>
        <v>7</v>
      </c>
      <c r="AB17" s="6">
        <f>IF(M17="","",IFERROR(VLOOKUP(M17,Scoring_Lookups!$J$5:$K$16,2,FALSE()),0))</f>
        <v>3</v>
      </c>
      <c r="AC17" s="6">
        <f>IF(O17="","",IFERROR(VLOOKUP(O17,Scoring_Lookups!$M$5:$N$8,2,FALSE()),0))</f>
        <v>4</v>
      </c>
      <c r="AD17" s="6">
        <f>IF(L17="","",IFERROR(VLOOKUP(L17,Scoring_Lookups!$P$5:$Q$9,2,FALSE()),0))</f>
        <v>8</v>
      </c>
      <c r="AE17" s="6">
        <f t="shared" si="2"/>
        <v>10</v>
      </c>
      <c r="AF17" s="6">
        <f t="shared" ca="1" si="3"/>
        <v>73</v>
      </c>
      <c r="AG17" s="6" t="str">
        <f t="shared" si="4"/>
        <v>OK</v>
      </c>
      <c r="AH17" s="6" t="s">
        <v>56</v>
      </c>
      <c r="AI17" s="6" t="str">
        <f t="shared" ca="1" si="5"/>
        <v>Priority 2</v>
      </c>
      <c r="AJ17" s="4" t="str">
        <f t="shared" ca="1" si="6"/>
        <v>P1 Lending (Consumer)=7 | P2 199=10 | P3 Poland=12 | P4 BIN Sponsor Agreement In Place=6 | P5 Series A=6 | P6=7 | P7 Incumbent Unknown=3 | P8 Cloud modern, Not API-first=4 | P9 Existing BIN Sponsor Relationship=8 | P10=10</v>
      </c>
      <c r="AK17" s="4"/>
      <c r="AL17" s="4" t="s">
        <v>61</v>
      </c>
      <c r="AM17" s="4" t="s">
        <v>56</v>
      </c>
      <c r="AN17" s="4"/>
      <c r="AO17" s="4" t="s">
        <v>92</v>
      </c>
      <c r="AP17" s="4" t="str">
        <f t="shared" si="7"/>
        <v>OK</v>
      </c>
      <c r="AQ17" s="4" t="s">
        <v>84</v>
      </c>
    </row>
    <row r="18" spans="1:43" ht="99.75" customHeight="1" x14ac:dyDescent="0.2">
      <c r="A18" s="3" t="s">
        <v>126</v>
      </c>
      <c r="B18" s="3" t="s">
        <v>127</v>
      </c>
      <c r="C18" s="3" t="s">
        <v>47</v>
      </c>
      <c r="D18" s="3" t="s">
        <v>48</v>
      </c>
      <c r="E18" s="3" t="s">
        <v>128</v>
      </c>
      <c r="F18" s="3">
        <v>1315</v>
      </c>
      <c r="G18" s="3" t="s">
        <v>50</v>
      </c>
      <c r="H18" s="3" t="s">
        <v>81</v>
      </c>
      <c r="I18" s="3" t="s">
        <v>82</v>
      </c>
      <c r="J18" s="3"/>
      <c r="K18" s="3" t="s">
        <v>129</v>
      </c>
      <c r="L18" s="3" t="s">
        <v>77</v>
      </c>
      <c r="M18" s="3" t="s">
        <v>130</v>
      </c>
      <c r="N18" s="3" t="s">
        <v>56</v>
      </c>
      <c r="O18" s="3" t="s">
        <v>57</v>
      </c>
      <c r="P18" s="3">
        <v>50000</v>
      </c>
      <c r="Q18" s="3">
        <v>200000</v>
      </c>
      <c r="R18" s="3" t="s">
        <v>71</v>
      </c>
      <c r="S18" s="3" t="s">
        <v>90</v>
      </c>
      <c r="T18" s="7">
        <v>46216</v>
      </c>
      <c r="U18" s="3" t="s">
        <v>131</v>
      </c>
      <c r="V18" s="6">
        <f>IF(E18="","",IFERROR(VLOOKUP(E18,Scoring_Lookups!$A$5:$B$18,2,FALSE()),0))</f>
        <v>4</v>
      </c>
      <c r="W18" s="6">
        <f t="shared" si="0"/>
        <v>7</v>
      </c>
      <c r="X18" s="6">
        <f>IF(C18="","",IFERROR(VLOOKUP(C18,Scoring_Lookups!$D$5:$E$35,2,FALSE()),0))</f>
        <v>12</v>
      </c>
      <c r="Y18" s="6">
        <f>IF(G18="","",IFERROR(VLOOKUP(G18,Scoring_Lookups!$G$5:$H$16,2,FALSE()),0))</f>
        <v>6</v>
      </c>
      <c r="Z18" s="6">
        <f t="shared" ca="1" si="1"/>
        <v>3</v>
      </c>
      <c r="AA18" s="6">
        <f ca="1">IF(N18="Yes",0,IF(A18="",0,IF(COUNTIFS('04_Triggers'!B:B,A18,'04_Triggers'!D:D,"&gt;="&amp;(TODAY()-365))&gt;=2,20,IF(COUNTIFS('04_Triggers'!B:B,A18,'04_Triggers'!D:D,"&gt;="&amp;(TODAY()-365),'04_Triggers'!G:G,"High")&gt;=1,14,IF(COUNTIFS('04_Triggers'!B:B,A18,'04_Triggers'!D:D,"&gt;="&amp;(TODAY()-365))&gt;=1,7,IF(COUNTIFS('04_Triggers'!B:B,A18,'04_Triggers'!D:D,"&gt;="&amp;(TODAY()-1095),'04_Triggers'!D:D,"&lt;"&amp;(TODAY()-365))&gt;=1,7,0))))))</f>
        <v>20</v>
      </c>
      <c r="AB18" s="6">
        <f>IF(M18="","",IFERROR(VLOOKUP(M18,Scoring_Lookups!$J$5:$K$16,2,FALSE()),0))</f>
        <v>8</v>
      </c>
      <c r="AC18" s="6">
        <f>IF(O18="","",IFERROR(VLOOKUP(O18,Scoring_Lookups!$M$5:$N$8,2,FALSE()),0))</f>
        <v>6</v>
      </c>
      <c r="AD18" s="6">
        <f>IF(L18="","",IFERROR(VLOOKUP(L18,Scoring_Lookups!$P$5:$Q$9,2,FALSE()),0))</f>
        <v>8</v>
      </c>
      <c r="AE18" s="6">
        <f t="shared" si="2"/>
        <v>10</v>
      </c>
      <c r="AF18" s="6">
        <f t="shared" ca="1" si="3"/>
        <v>84</v>
      </c>
      <c r="AG18" s="6" t="str">
        <f t="shared" si="4"/>
        <v>OK</v>
      </c>
      <c r="AH18" s="6" t="s">
        <v>56</v>
      </c>
      <c r="AI18" s="6" t="str">
        <f t="shared" ca="1" si="5"/>
        <v>Priority 1</v>
      </c>
      <c r="AJ18" s="3" t="str">
        <f t="shared" ca="1" si="6"/>
        <v>P1 Investment Management=4 | P2 1315=7 | P3 Poland=12 | P4 PI Licence=6 | P5 Listed Stable=3 | P6=20 | P7 In-house Legacy Processor=8 | P8 Cloud-native (AWS/Azure/GCP), API-first, AI signals=6 | P9 Existing BIN Sponsor Relationship=8 | P10=10</v>
      </c>
      <c r="AK18" s="3"/>
      <c r="AL18" s="3" t="s">
        <v>61</v>
      </c>
      <c r="AM18" s="3" t="s">
        <v>56</v>
      </c>
      <c r="AN18" s="3"/>
      <c r="AO18" s="3" t="s">
        <v>92</v>
      </c>
      <c r="AP18" s="3" t="str">
        <f t="shared" si="7"/>
        <v>OK</v>
      </c>
      <c r="AQ18" s="3" t="s">
        <v>84</v>
      </c>
    </row>
    <row r="19" spans="1:43" ht="99.75" customHeight="1" x14ac:dyDescent="0.2">
      <c r="A19" s="4" t="s">
        <v>132</v>
      </c>
      <c r="B19" s="4" t="s">
        <v>133</v>
      </c>
      <c r="C19" s="4" t="s">
        <v>47</v>
      </c>
      <c r="D19" s="4" t="s">
        <v>134</v>
      </c>
      <c r="E19" s="4" t="s">
        <v>135</v>
      </c>
      <c r="F19" s="4">
        <v>728</v>
      </c>
      <c r="G19" s="4" t="s">
        <v>136</v>
      </c>
      <c r="H19" s="4" t="s">
        <v>96</v>
      </c>
      <c r="I19" s="4" t="s">
        <v>97</v>
      </c>
      <c r="J19" s="4"/>
      <c r="K19" s="4" t="s">
        <v>137</v>
      </c>
      <c r="L19" s="4" t="s">
        <v>138</v>
      </c>
      <c r="M19" s="4" t="s">
        <v>139</v>
      </c>
      <c r="N19" s="4" t="s">
        <v>56</v>
      </c>
      <c r="O19" s="4" t="s">
        <v>70</v>
      </c>
      <c r="P19" s="4">
        <v>300000</v>
      </c>
      <c r="Q19" s="4">
        <v>500000</v>
      </c>
      <c r="R19" s="4" t="s">
        <v>71</v>
      </c>
      <c r="S19" s="4" t="s">
        <v>90</v>
      </c>
      <c r="T19" s="5">
        <v>46216</v>
      </c>
      <c r="U19" s="4" t="s">
        <v>140</v>
      </c>
      <c r="V19" s="6">
        <f>IF(E19="","",IFERROR(VLOOKUP(E19,Scoring_Lookups!$A$5:$B$18,2,FALSE()),0))</f>
        <v>10</v>
      </c>
      <c r="W19" s="6">
        <f t="shared" si="0"/>
        <v>10</v>
      </c>
      <c r="X19" s="6">
        <f>IF(C19="","",IFERROR(VLOOKUP(C19,Scoring_Lookups!$D$5:$E$35,2,FALSE()),0))</f>
        <v>12</v>
      </c>
      <c r="Y19" s="6">
        <f>IF(G19="","",IFERROR(VLOOKUP(G19,Scoring_Lookups!$G$5:$H$16,2,FALSE()),0))</f>
        <v>8</v>
      </c>
      <c r="Z19" s="6">
        <f t="shared" ca="1" si="1"/>
        <v>6</v>
      </c>
      <c r="AA19" s="6">
        <f ca="1">IF(N19="Yes",0,IF(A19="",0,IF(COUNTIFS('04_Triggers'!B:B,A19,'04_Triggers'!D:D,"&gt;="&amp;(TODAY()-365))&gt;=2,20,IF(COUNTIFS('04_Triggers'!B:B,A19,'04_Triggers'!D:D,"&gt;="&amp;(TODAY()-365),'04_Triggers'!G:G,"High")&gt;=1,14,IF(COUNTIFS('04_Triggers'!B:B,A19,'04_Triggers'!D:D,"&gt;="&amp;(TODAY()-365))&gt;=1,7,IF(COUNTIFS('04_Triggers'!B:B,A19,'04_Triggers'!D:D,"&gt;="&amp;(TODAY()-1095),'04_Triggers'!D:D,"&lt;"&amp;(TODAY()-365))&gt;=1,7,0))))))</f>
        <v>20</v>
      </c>
      <c r="AB19" s="6">
        <f>IF(M19="","",IFERROR(VLOOKUP(M19,Scoring_Lookups!$J$5:$K$16,2,FALSE()),0))</f>
        <v>8</v>
      </c>
      <c r="AC19" s="6">
        <f>IF(O19="","",IFERROR(VLOOKUP(O19,Scoring_Lookups!$M$5:$N$8,2,FALSE()),0))</f>
        <v>4</v>
      </c>
      <c r="AD19" s="6">
        <f>IF(L19="","",IFERROR(VLOOKUP(L19,Scoring_Lookups!$P$5:$Q$9,2,FALSE()),0))</f>
        <v>8</v>
      </c>
      <c r="AE19" s="6">
        <f t="shared" si="2"/>
        <v>10</v>
      </c>
      <c r="AF19" s="6">
        <f t="shared" ca="1" si="3"/>
        <v>96</v>
      </c>
      <c r="AG19" s="6" t="str">
        <f t="shared" si="4"/>
        <v>OK</v>
      </c>
      <c r="AH19" s="6" t="s">
        <v>56</v>
      </c>
      <c r="AI19" s="6" t="str">
        <f t="shared" ca="1" si="5"/>
        <v>Priority 1</v>
      </c>
      <c r="AJ19" s="4" t="str">
        <f t="shared" ca="1" si="6"/>
        <v>P1 Digital Banking=10 | P2 728=10 | P3 Poland=12 | P4 Credit Institution Licence=8 | P5 PE-controlled Stable=6 | P6=20 | P7 Legacy Processor (Named)=8 | P8 Cloud modern, Not API-first=4 | P9 Scheme Principal=8 | P10=10</v>
      </c>
      <c r="AK19" s="4"/>
      <c r="AL19" s="4" t="s">
        <v>61</v>
      </c>
      <c r="AM19" s="4" t="s">
        <v>56</v>
      </c>
      <c r="AN19" s="4"/>
      <c r="AO19" s="4" t="s">
        <v>92</v>
      </c>
      <c r="AP19" s="4" t="str">
        <f t="shared" si="7"/>
        <v>OK</v>
      </c>
      <c r="AQ19" s="4" t="s">
        <v>84</v>
      </c>
    </row>
    <row r="20" spans="1:43" ht="99.75" customHeight="1" x14ac:dyDescent="0.2">
      <c r="A20" s="3" t="s">
        <v>141</v>
      </c>
      <c r="B20" s="3" t="s">
        <v>142</v>
      </c>
      <c r="C20" s="3" t="s">
        <v>47</v>
      </c>
      <c r="D20" s="3" t="s">
        <v>48</v>
      </c>
      <c r="E20" s="3" t="s">
        <v>95</v>
      </c>
      <c r="F20" s="3">
        <v>100</v>
      </c>
      <c r="G20" s="3" t="s">
        <v>67</v>
      </c>
      <c r="H20" s="3" t="s">
        <v>96</v>
      </c>
      <c r="I20" s="3" t="s">
        <v>143</v>
      </c>
      <c r="J20" s="7">
        <v>45153</v>
      </c>
      <c r="K20" s="3" t="s">
        <v>53</v>
      </c>
      <c r="L20" s="3" t="s">
        <v>77</v>
      </c>
      <c r="M20" s="3" t="s">
        <v>144</v>
      </c>
      <c r="N20" s="3" t="s">
        <v>56</v>
      </c>
      <c r="O20" s="3" t="s">
        <v>57</v>
      </c>
      <c r="P20" s="3">
        <v>100000</v>
      </c>
      <c r="Q20" s="3">
        <v>250000</v>
      </c>
      <c r="R20" s="3" t="s">
        <v>71</v>
      </c>
      <c r="S20" s="3" t="s">
        <v>90</v>
      </c>
      <c r="T20" s="7">
        <v>46216</v>
      </c>
      <c r="U20" s="3" t="s">
        <v>145</v>
      </c>
      <c r="V20" s="6">
        <f>IF(E20="","",IFERROR(VLOOKUP(E20,Scoring_Lookups!$A$5:$B$18,2,FALSE()),0))</f>
        <v>7</v>
      </c>
      <c r="W20" s="6">
        <f t="shared" si="0"/>
        <v>10</v>
      </c>
      <c r="X20" s="6">
        <f>IF(C20="","",IFERROR(VLOOKUP(C20,Scoring_Lookups!$D$5:$E$35,2,FALSE()),0))</f>
        <v>12</v>
      </c>
      <c r="Y20" s="6">
        <f>IF(G20="","",IFERROR(VLOOKUP(G20,Scoring_Lookups!$G$5:$H$16,2,FALSE()),0))</f>
        <v>6</v>
      </c>
      <c r="Z20" s="6">
        <f t="shared" ca="1" si="1"/>
        <v>8</v>
      </c>
      <c r="AA20" s="6">
        <f ca="1">IF(N20="Yes",0,IF(A20="",0,IF(COUNTIFS('04_Triggers'!B:B,A20,'04_Triggers'!D:D,"&gt;="&amp;(TODAY()-365))&gt;=2,20,IF(COUNTIFS('04_Triggers'!B:B,A20,'04_Triggers'!D:D,"&gt;="&amp;(TODAY()-365),'04_Triggers'!G:G,"High")&gt;=1,14,IF(COUNTIFS('04_Triggers'!B:B,A20,'04_Triggers'!D:D,"&gt;="&amp;(TODAY()-365))&gt;=1,7,IF(COUNTIFS('04_Triggers'!B:B,A20,'04_Triggers'!D:D,"&gt;="&amp;(TODAY()-1095),'04_Triggers'!D:D,"&lt;"&amp;(TODAY()-365))&gt;=1,7,0))))))</f>
        <v>0</v>
      </c>
      <c r="AB20" s="6">
        <f>IF(M20="","",IFERROR(VLOOKUP(M20,Scoring_Lookups!$J$5:$K$16,2,FALSE()),0))</f>
        <v>8</v>
      </c>
      <c r="AC20" s="6">
        <f>IF(O20="","",IFERROR(VLOOKUP(O20,Scoring_Lookups!$M$5:$N$8,2,FALSE()),0))</f>
        <v>6</v>
      </c>
      <c r="AD20" s="6">
        <f>IF(L20="","",IFERROR(VLOOKUP(L20,Scoring_Lookups!$P$5:$Q$9,2,FALSE()),0))</f>
        <v>8</v>
      </c>
      <c r="AE20" s="6">
        <f t="shared" si="2"/>
        <v>10</v>
      </c>
      <c r="AF20" s="6">
        <f t="shared" ca="1" si="3"/>
        <v>75</v>
      </c>
      <c r="AG20" s="6" t="str">
        <f t="shared" si="4"/>
        <v>OK</v>
      </c>
      <c r="AH20" s="6" t="s">
        <v>56</v>
      </c>
      <c r="AI20" s="6" t="str">
        <f t="shared" ca="1" si="5"/>
        <v>Priority 2</v>
      </c>
      <c r="AJ20" s="3" t="str">
        <f t="shared" ca="1" si="6"/>
        <v>P1 Lending (Consumer)=7 | P2 100=10 | P3 Poland=12 | P4 BIN Sponsor Agreement In Place=6 | P5 PE-controlled Growth Mandate=8 | P6=0 | P7 Marqeta=8 | P8 Cloud-native (AWS/Azure/GCP), API-first, AI signals=6 | P9 Existing BIN Sponsor Relationship=8 | P10=10</v>
      </c>
      <c r="AK20" s="3"/>
      <c r="AL20" s="3" t="s">
        <v>61</v>
      </c>
      <c r="AM20" s="3" t="s">
        <v>56</v>
      </c>
      <c r="AN20" s="3"/>
      <c r="AO20" s="3" t="s">
        <v>92</v>
      </c>
      <c r="AP20" s="3" t="str">
        <f t="shared" si="7"/>
        <v>OK</v>
      </c>
      <c r="AQ20" s="3" t="s">
        <v>84</v>
      </c>
    </row>
    <row r="21" spans="1:43" ht="99.75" customHeight="1" x14ac:dyDescent="0.2">
      <c r="A21" s="4" t="s">
        <v>146</v>
      </c>
      <c r="B21" s="4" t="s">
        <v>147</v>
      </c>
      <c r="C21" s="4" t="s">
        <v>47</v>
      </c>
      <c r="D21" s="4" t="s">
        <v>48</v>
      </c>
      <c r="E21" s="4" t="s">
        <v>95</v>
      </c>
      <c r="F21" s="4">
        <v>175</v>
      </c>
      <c r="G21" s="4" t="s">
        <v>67</v>
      </c>
      <c r="H21" s="4" t="s">
        <v>96</v>
      </c>
      <c r="I21" s="4" t="s">
        <v>97</v>
      </c>
      <c r="J21" s="4"/>
      <c r="K21" s="4" t="s">
        <v>53</v>
      </c>
      <c r="L21" s="4" t="s">
        <v>77</v>
      </c>
      <c r="M21" s="4" t="s">
        <v>89</v>
      </c>
      <c r="N21" s="4" t="s">
        <v>56</v>
      </c>
      <c r="O21" s="4" t="s">
        <v>70</v>
      </c>
      <c r="P21" s="4">
        <v>50000</v>
      </c>
      <c r="Q21" s="4">
        <v>100000</v>
      </c>
      <c r="R21" s="4" t="s">
        <v>71</v>
      </c>
      <c r="S21" s="4" t="s">
        <v>90</v>
      </c>
      <c r="T21" s="5">
        <v>46216</v>
      </c>
      <c r="U21" s="4" t="s">
        <v>148</v>
      </c>
      <c r="V21" s="6">
        <f>IF(E21="","",IFERROR(VLOOKUP(E21,Scoring_Lookups!$A$5:$B$18,2,FALSE()),0))</f>
        <v>7</v>
      </c>
      <c r="W21" s="6">
        <f t="shared" si="0"/>
        <v>10</v>
      </c>
      <c r="X21" s="6">
        <f>IF(C21="","",IFERROR(VLOOKUP(C21,Scoring_Lookups!$D$5:$E$35,2,FALSE()),0))</f>
        <v>12</v>
      </c>
      <c r="Y21" s="6">
        <f>IF(G21="","",IFERROR(VLOOKUP(G21,Scoring_Lookups!$G$5:$H$16,2,FALSE()),0))</f>
        <v>6</v>
      </c>
      <c r="Z21" s="6">
        <f t="shared" ca="1" si="1"/>
        <v>6</v>
      </c>
      <c r="AA21" s="6">
        <f ca="1">IF(N21="Yes",0,IF(A21="",0,IF(COUNTIFS('04_Triggers'!B:B,A21,'04_Triggers'!D:D,"&gt;="&amp;(TODAY()-365))&gt;=2,20,IF(COUNTIFS('04_Triggers'!B:B,A21,'04_Triggers'!D:D,"&gt;="&amp;(TODAY()-365),'04_Triggers'!G:G,"High")&gt;=1,14,IF(COUNTIFS('04_Triggers'!B:B,A21,'04_Triggers'!D:D,"&gt;="&amp;(TODAY()-365))&gt;=1,7,IF(COUNTIFS('04_Triggers'!B:B,A21,'04_Triggers'!D:D,"&gt;="&amp;(TODAY()-1095),'04_Triggers'!D:D,"&lt;"&amp;(TODAY()-365))&gt;=1,7,0))))))</f>
        <v>0</v>
      </c>
      <c r="AB21" s="6">
        <f>IF(M21="","",IFERROR(VLOOKUP(M21,Scoring_Lookups!$J$5:$K$16,2,FALSE()),0))</f>
        <v>3</v>
      </c>
      <c r="AC21" s="6">
        <f>IF(O21="","",IFERROR(VLOOKUP(O21,Scoring_Lookups!$M$5:$N$8,2,FALSE()),0))</f>
        <v>4</v>
      </c>
      <c r="AD21" s="6">
        <f>IF(L21="","",IFERROR(VLOOKUP(L21,Scoring_Lookups!$P$5:$Q$9,2,FALSE()),0))</f>
        <v>8</v>
      </c>
      <c r="AE21" s="6">
        <f t="shared" si="2"/>
        <v>10</v>
      </c>
      <c r="AF21" s="6">
        <f t="shared" ca="1" si="3"/>
        <v>66</v>
      </c>
      <c r="AG21" s="6" t="str">
        <f t="shared" si="4"/>
        <v>OK</v>
      </c>
      <c r="AH21" s="6" t="s">
        <v>56</v>
      </c>
      <c r="AI21" s="6" t="str">
        <f t="shared" ca="1" si="5"/>
        <v>Priority 2</v>
      </c>
      <c r="AJ21" s="4" t="str">
        <f t="shared" ca="1" si="6"/>
        <v>P1 Lending (Consumer)=7 | P2 175=10 | P3 Poland=12 | P4 BIN Sponsor Agreement In Place=6 | P5 PE-controlled Stable=6 | P6=0 | P7 Incumbent Unknown=3 | P8 Cloud modern, Not API-first=4 | P9 Existing BIN Sponsor Relationship=8 | P10=10</v>
      </c>
      <c r="AK21" s="4"/>
      <c r="AL21" s="4" t="s">
        <v>61</v>
      </c>
      <c r="AM21" s="4" t="s">
        <v>56</v>
      </c>
      <c r="AN21" s="4"/>
      <c r="AO21" s="4" t="s">
        <v>92</v>
      </c>
      <c r="AP21" s="4" t="str">
        <f t="shared" si="7"/>
        <v>OK</v>
      </c>
      <c r="AQ21" s="4" t="s">
        <v>84</v>
      </c>
    </row>
    <row r="22" spans="1:43" ht="99.75" customHeight="1" x14ac:dyDescent="0.2">
      <c r="A22" s="3" t="s">
        <v>149</v>
      </c>
      <c r="B22" s="3" t="s">
        <v>150</v>
      </c>
      <c r="C22" s="3" t="s">
        <v>47</v>
      </c>
      <c r="D22" s="3" t="s">
        <v>48</v>
      </c>
      <c r="E22" s="3" t="s">
        <v>110</v>
      </c>
      <c r="F22" s="3">
        <v>81</v>
      </c>
      <c r="G22" s="3" t="s">
        <v>151</v>
      </c>
      <c r="H22" s="3" t="s">
        <v>68</v>
      </c>
      <c r="I22" s="3" t="s">
        <v>69</v>
      </c>
      <c r="J22" s="3"/>
      <c r="K22" s="3" t="s">
        <v>137</v>
      </c>
      <c r="L22" s="3" t="s">
        <v>138</v>
      </c>
      <c r="M22" s="3" t="s">
        <v>130</v>
      </c>
      <c r="N22" s="3" t="s">
        <v>56</v>
      </c>
      <c r="O22" s="3" t="s">
        <v>70</v>
      </c>
      <c r="P22" s="3">
        <v>30000</v>
      </c>
      <c r="Q22" s="3">
        <v>100000</v>
      </c>
      <c r="R22" s="3" t="s">
        <v>71</v>
      </c>
      <c r="S22" s="3" t="s">
        <v>90</v>
      </c>
      <c r="T22" s="7">
        <v>46216</v>
      </c>
      <c r="U22" s="3" t="s">
        <v>152</v>
      </c>
      <c r="V22" s="6">
        <f>IF(E22="","",IFERROR(VLOOKUP(E22,Scoring_Lookups!$A$5:$B$18,2,FALSE()),0))</f>
        <v>7</v>
      </c>
      <c r="W22" s="6">
        <f t="shared" si="0"/>
        <v>10</v>
      </c>
      <c r="X22" s="6">
        <f>IF(C22="","",IFERROR(VLOOKUP(C22,Scoring_Lookups!$D$5:$E$35,2,FALSE()),0))</f>
        <v>12</v>
      </c>
      <c r="Y22" s="6">
        <f>IF(G22="","",IFERROR(VLOOKUP(G22,Scoring_Lookups!$G$5:$H$16,2,FALSE()),0))</f>
        <v>8</v>
      </c>
      <c r="Z22" s="6">
        <f t="shared" ca="1" si="1"/>
        <v>6</v>
      </c>
      <c r="AA22" s="6">
        <f ca="1">IF(N22="Yes",0,IF(A22="",0,IF(COUNTIFS('04_Triggers'!B:B,A22,'04_Triggers'!D:D,"&gt;="&amp;(TODAY()-365))&gt;=2,20,IF(COUNTIFS('04_Triggers'!B:B,A22,'04_Triggers'!D:D,"&gt;="&amp;(TODAY()-365),'04_Triggers'!G:G,"High")&gt;=1,14,IF(COUNTIFS('04_Triggers'!B:B,A22,'04_Triggers'!D:D,"&gt;="&amp;(TODAY()-365))&gt;=1,7,IF(COUNTIFS('04_Triggers'!B:B,A22,'04_Triggers'!D:D,"&gt;="&amp;(TODAY()-1095),'04_Triggers'!D:D,"&lt;"&amp;(TODAY()-365))&gt;=1,7,0))))))</f>
        <v>7</v>
      </c>
      <c r="AB22" s="6">
        <f>IF(M22="","",IFERROR(VLOOKUP(M22,Scoring_Lookups!$J$5:$K$16,2,FALSE()),0))</f>
        <v>8</v>
      </c>
      <c r="AC22" s="6">
        <f>IF(O22="","",IFERROR(VLOOKUP(O22,Scoring_Lookups!$M$5:$N$8,2,FALSE()),0))</f>
        <v>4</v>
      </c>
      <c r="AD22" s="6">
        <f>IF(L22="","",IFERROR(VLOOKUP(L22,Scoring_Lookups!$P$5:$Q$9,2,FALSE()),0))</f>
        <v>8</v>
      </c>
      <c r="AE22" s="6">
        <f t="shared" si="2"/>
        <v>10</v>
      </c>
      <c r="AF22" s="6">
        <f t="shared" ca="1" si="3"/>
        <v>80</v>
      </c>
      <c r="AG22" s="6" t="str">
        <f t="shared" si="4"/>
        <v>OK</v>
      </c>
      <c r="AH22" s="6" t="s">
        <v>56</v>
      </c>
      <c r="AI22" s="6" t="str">
        <f t="shared" ca="1" si="5"/>
        <v>Priority 1</v>
      </c>
      <c r="AJ22" s="3" t="str">
        <f t="shared" ca="1" si="6"/>
        <v>P1 FX Payments=7 | P2 81=10 | P3 Poland=12 | P4 Scheme Principal Member=8 | P5 Bootstrapped Profitable=6 | P6=7 | P7 In-house Legacy Processor=8 | P8 Cloud modern, Not API-first=4 | P9 Scheme Principal=8 | P10=10</v>
      </c>
      <c r="AK22" s="3"/>
      <c r="AL22" s="3" t="s">
        <v>61</v>
      </c>
      <c r="AM22" s="3" t="s">
        <v>56</v>
      </c>
      <c r="AN22" s="3"/>
      <c r="AO22" s="3" t="s">
        <v>92</v>
      </c>
      <c r="AP22" s="3" t="str">
        <f t="shared" si="7"/>
        <v>OK</v>
      </c>
      <c r="AQ22" s="3" t="s">
        <v>84</v>
      </c>
    </row>
    <row r="23" spans="1:43" ht="99.75" customHeight="1" x14ac:dyDescent="0.2">
      <c r="A23" s="4" t="s">
        <v>153</v>
      </c>
      <c r="B23" s="4" t="s">
        <v>154</v>
      </c>
      <c r="C23" s="4" t="s">
        <v>47</v>
      </c>
      <c r="D23" s="4" t="s">
        <v>48</v>
      </c>
      <c r="E23" s="4" t="s">
        <v>49</v>
      </c>
      <c r="F23" s="4">
        <v>470</v>
      </c>
      <c r="G23" s="4" t="s">
        <v>151</v>
      </c>
      <c r="H23" s="4" t="s">
        <v>68</v>
      </c>
      <c r="I23" s="4" t="s">
        <v>143</v>
      </c>
      <c r="J23" s="5">
        <v>45901</v>
      </c>
      <c r="K23" s="4" t="s">
        <v>155</v>
      </c>
      <c r="L23" s="4" t="s">
        <v>138</v>
      </c>
      <c r="M23" s="4" t="s">
        <v>130</v>
      </c>
      <c r="N23" s="4" t="s">
        <v>56</v>
      </c>
      <c r="O23" s="4" t="s">
        <v>70</v>
      </c>
      <c r="P23" s="4">
        <v>500000</v>
      </c>
      <c r="Q23" s="4">
        <v>800000</v>
      </c>
      <c r="R23" s="4" t="s">
        <v>71</v>
      </c>
      <c r="S23" s="4" t="s">
        <v>90</v>
      </c>
      <c r="T23" s="5">
        <v>46216</v>
      </c>
      <c r="U23" s="4" t="s">
        <v>156</v>
      </c>
      <c r="V23" s="6">
        <f>IF(E23="","",IFERROR(VLOOKUP(E23,Scoring_Lookups!$A$5:$B$18,2,FALSE()),0))</f>
        <v>4</v>
      </c>
      <c r="W23" s="6">
        <f t="shared" si="0"/>
        <v>10</v>
      </c>
      <c r="X23" s="6">
        <f>IF(C23="","",IFERROR(VLOOKUP(C23,Scoring_Lookups!$D$5:$E$35,2,FALSE()),0))</f>
        <v>12</v>
      </c>
      <c r="Y23" s="6">
        <f>IF(G23="","",IFERROR(VLOOKUP(G23,Scoring_Lookups!$G$5:$H$16,2,FALSE()),0))</f>
        <v>8</v>
      </c>
      <c r="Z23" s="6">
        <f t="shared" ca="1" si="1"/>
        <v>8</v>
      </c>
      <c r="AA23" s="6">
        <f ca="1">IF(N23="Yes",0,IF(A23="",0,IF(COUNTIFS('04_Triggers'!B:B,A23,'04_Triggers'!D:D,"&gt;="&amp;(TODAY()-365))&gt;=2,20,IF(COUNTIFS('04_Triggers'!B:B,A23,'04_Triggers'!D:D,"&gt;="&amp;(TODAY()-365),'04_Triggers'!G:G,"High")&gt;=1,14,IF(COUNTIFS('04_Triggers'!B:B,A23,'04_Triggers'!D:D,"&gt;="&amp;(TODAY()-365))&gt;=1,7,IF(COUNTIFS('04_Triggers'!B:B,A23,'04_Triggers'!D:D,"&gt;="&amp;(TODAY()-1095),'04_Triggers'!D:D,"&lt;"&amp;(TODAY()-365))&gt;=1,7,0))))))</f>
        <v>14</v>
      </c>
      <c r="AB23" s="6">
        <f>IF(M23="","",IFERROR(VLOOKUP(M23,Scoring_Lookups!$J$5:$K$16,2,FALSE()),0))</f>
        <v>8</v>
      </c>
      <c r="AC23" s="6">
        <f>IF(O23="","",IFERROR(VLOOKUP(O23,Scoring_Lookups!$M$5:$N$8,2,FALSE()),0))</f>
        <v>4</v>
      </c>
      <c r="AD23" s="6">
        <f>IF(L23="","",IFERROR(VLOOKUP(L23,Scoring_Lookups!$P$5:$Q$9,2,FALSE()),0))</f>
        <v>8</v>
      </c>
      <c r="AE23" s="6">
        <f t="shared" si="2"/>
        <v>10</v>
      </c>
      <c r="AF23" s="6">
        <f t="shared" ca="1" si="3"/>
        <v>86</v>
      </c>
      <c r="AG23" s="6" t="str">
        <f t="shared" si="4"/>
        <v>OK</v>
      </c>
      <c r="AH23" s="6" t="s">
        <v>56</v>
      </c>
      <c r="AI23" s="6" t="str">
        <f t="shared" ca="1" si="5"/>
        <v>Priority 1</v>
      </c>
      <c r="AJ23" s="4" t="str">
        <f t="shared" ca="1" si="6"/>
        <v>P1 Payments=4 | P2 470=10 | P3 Poland=12 | P4 Scheme Principal Member=8 | P5 PE-controlled Growth Mandate=8 | P6=14 | P7 In-house Legacy Processor=8 | P8 Cloud modern, Not API-first=4 | P9 Scheme Principal=8 | P10=10</v>
      </c>
      <c r="AK23" s="4"/>
      <c r="AL23" s="4" t="s">
        <v>61</v>
      </c>
      <c r="AM23" s="4" t="s">
        <v>56</v>
      </c>
      <c r="AN23" s="4"/>
      <c r="AO23" s="4" t="s">
        <v>92</v>
      </c>
      <c r="AP23" s="4" t="str">
        <f t="shared" si="7"/>
        <v>OK</v>
      </c>
      <c r="AQ23" s="4" t="s">
        <v>63</v>
      </c>
    </row>
    <row r="24" spans="1:43" ht="99.75" customHeight="1" x14ac:dyDescent="0.2">
      <c r="A24" s="3" t="s">
        <v>157</v>
      </c>
      <c r="B24" s="3" t="s">
        <v>158</v>
      </c>
      <c r="C24" s="3" t="s">
        <v>47</v>
      </c>
      <c r="D24" s="3" t="s">
        <v>48</v>
      </c>
      <c r="E24" s="3" t="s">
        <v>49</v>
      </c>
      <c r="F24" s="3">
        <v>250</v>
      </c>
      <c r="G24" s="3" t="s">
        <v>50</v>
      </c>
      <c r="H24" s="3" t="s">
        <v>96</v>
      </c>
      <c r="I24" s="3" t="s">
        <v>97</v>
      </c>
      <c r="J24" s="3"/>
      <c r="K24" s="3" t="s">
        <v>53</v>
      </c>
      <c r="L24" s="3" t="s">
        <v>77</v>
      </c>
      <c r="M24" s="3" t="s">
        <v>159</v>
      </c>
      <c r="N24" s="3" t="s">
        <v>56</v>
      </c>
      <c r="O24" s="3" t="s">
        <v>70</v>
      </c>
      <c r="P24" s="3">
        <v>100000</v>
      </c>
      <c r="Q24" s="3">
        <v>250000</v>
      </c>
      <c r="R24" s="3" t="s">
        <v>71</v>
      </c>
      <c r="S24" s="3" t="s">
        <v>90</v>
      </c>
      <c r="T24" s="7">
        <v>46216</v>
      </c>
      <c r="U24" s="3" t="s">
        <v>160</v>
      </c>
      <c r="V24" s="6">
        <f>IF(E24="","",IFERROR(VLOOKUP(E24,Scoring_Lookups!$A$5:$B$18,2,FALSE()),0))</f>
        <v>4</v>
      </c>
      <c r="W24" s="6">
        <f t="shared" si="0"/>
        <v>10</v>
      </c>
      <c r="X24" s="6">
        <f>IF(C24="","",IFERROR(VLOOKUP(C24,Scoring_Lookups!$D$5:$E$35,2,FALSE()),0))</f>
        <v>12</v>
      </c>
      <c r="Y24" s="6">
        <f>IF(G24="","",IFERROR(VLOOKUP(G24,Scoring_Lookups!$G$5:$H$16,2,FALSE()),0))</f>
        <v>6</v>
      </c>
      <c r="Z24" s="6">
        <f t="shared" ca="1" si="1"/>
        <v>6</v>
      </c>
      <c r="AA24" s="6">
        <f ca="1">IF(N24="Yes",0,IF(A24="",0,IF(COUNTIFS('04_Triggers'!B:B,A24,'04_Triggers'!D:D,"&gt;="&amp;(TODAY()-365))&gt;=2,20,IF(COUNTIFS('04_Triggers'!B:B,A24,'04_Triggers'!D:D,"&gt;="&amp;(TODAY()-365),'04_Triggers'!G:G,"High")&gt;=1,14,IF(COUNTIFS('04_Triggers'!B:B,A24,'04_Triggers'!D:D,"&gt;="&amp;(TODAY()-365))&gt;=1,7,IF(COUNTIFS('04_Triggers'!B:B,A24,'04_Triggers'!D:D,"&gt;="&amp;(TODAY()-1095),'04_Triggers'!D:D,"&lt;"&amp;(TODAY()-365))&gt;=1,7,0))))))</f>
        <v>0</v>
      </c>
      <c r="AB24" s="6">
        <f>IF(M24="","",IFERROR(VLOOKUP(M24,Scoring_Lookups!$J$5:$K$16,2,FALSE()),0))</f>
        <v>6</v>
      </c>
      <c r="AC24" s="6">
        <f>IF(O24="","",IFERROR(VLOOKUP(O24,Scoring_Lookups!$M$5:$N$8,2,FALSE()),0))</f>
        <v>4</v>
      </c>
      <c r="AD24" s="6">
        <f>IF(L24="","",IFERROR(VLOOKUP(L24,Scoring_Lookups!$P$5:$Q$9,2,FALSE()),0))</f>
        <v>8</v>
      </c>
      <c r="AE24" s="6">
        <f t="shared" si="2"/>
        <v>10</v>
      </c>
      <c r="AF24" s="6">
        <f t="shared" ca="1" si="3"/>
        <v>66</v>
      </c>
      <c r="AG24" s="6" t="str">
        <f t="shared" si="4"/>
        <v>OK</v>
      </c>
      <c r="AH24" s="6" t="s">
        <v>56</v>
      </c>
      <c r="AI24" s="6" t="str">
        <f t="shared" ca="1" si="5"/>
        <v>Priority 2</v>
      </c>
      <c r="AJ24" s="3" t="str">
        <f t="shared" ca="1" si="6"/>
        <v>P1 Payments=4 | P2 250=10 | P3 Poland=12 | P4 PI Licence=6 | P5 PE-controlled Stable=6 | P6=0 | P7 Smaller/Less-known Processor=6 | P8 Cloud modern, Not API-first=4 | P9 Existing BIN Sponsor Relationship=8 | P10=10</v>
      </c>
      <c r="AK24" s="3"/>
      <c r="AL24" s="3" t="s">
        <v>61</v>
      </c>
      <c r="AM24" s="3" t="s">
        <v>56</v>
      </c>
      <c r="AN24" s="3"/>
      <c r="AO24" s="3" t="s">
        <v>92</v>
      </c>
      <c r="AP24" s="3" t="str">
        <f t="shared" si="7"/>
        <v>OK</v>
      </c>
      <c r="AQ24" s="3" t="s">
        <v>84</v>
      </c>
    </row>
    <row r="25" spans="1:43" ht="99.75" customHeight="1" x14ac:dyDescent="0.2">
      <c r="A25" s="4" t="s">
        <v>161</v>
      </c>
      <c r="B25" s="4" t="s">
        <v>162</v>
      </c>
      <c r="C25" s="4" t="s">
        <v>47</v>
      </c>
      <c r="D25" s="4" t="s">
        <v>48</v>
      </c>
      <c r="E25" s="4" t="s">
        <v>95</v>
      </c>
      <c r="F25" s="4">
        <v>848</v>
      </c>
      <c r="G25" s="4" t="s">
        <v>67</v>
      </c>
      <c r="H25" s="4" t="s">
        <v>81</v>
      </c>
      <c r="I25" s="4" t="s">
        <v>82</v>
      </c>
      <c r="J25" s="4"/>
      <c r="K25" s="4" t="s">
        <v>53</v>
      </c>
      <c r="L25" s="4" t="s">
        <v>77</v>
      </c>
      <c r="M25" s="4" t="s">
        <v>89</v>
      </c>
      <c r="N25" s="4" t="s">
        <v>56</v>
      </c>
      <c r="O25" s="4" t="s">
        <v>70</v>
      </c>
      <c r="P25" s="4">
        <v>500000</v>
      </c>
      <c r="Q25" s="4">
        <v>700000</v>
      </c>
      <c r="R25" s="4" t="s">
        <v>71</v>
      </c>
      <c r="S25" s="4" t="s">
        <v>90</v>
      </c>
      <c r="T25" s="5">
        <v>46216</v>
      </c>
      <c r="U25" s="4" t="s">
        <v>163</v>
      </c>
      <c r="V25" s="6">
        <f>IF(E25="","",IFERROR(VLOOKUP(E25,Scoring_Lookups!$A$5:$B$18,2,FALSE()),0))</f>
        <v>7</v>
      </c>
      <c r="W25" s="6">
        <f t="shared" si="0"/>
        <v>10</v>
      </c>
      <c r="X25" s="6">
        <f>IF(C25="","",IFERROR(VLOOKUP(C25,Scoring_Lookups!$D$5:$E$35,2,FALSE()),0))</f>
        <v>12</v>
      </c>
      <c r="Y25" s="6">
        <f>IF(G25="","",IFERROR(VLOOKUP(G25,Scoring_Lookups!$G$5:$H$16,2,FALSE()),0))</f>
        <v>6</v>
      </c>
      <c r="Z25" s="6">
        <f t="shared" ca="1" si="1"/>
        <v>3</v>
      </c>
      <c r="AA25" s="6">
        <f ca="1">IF(N25="Yes",0,IF(A25="",0,IF(COUNTIFS('04_Triggers'!B:B,A25,'04_Triggers'!D:D,"&gt;="&amp;(TODAY()-365))&gt;=2,20,IF(COUNTIFS('04_Triggers'!B:B,A25,'04_Triggers'!D:D,"&gt;="&amp;(TODAY()-365),'04_Triggers'!G:G,"High")&gt;=1,14,IF(COUNTIFS('04_Triggers'!B:B,A25,'04_Triggers'!D:D,"&gt;="&amp;(TODAY()-365))&gt;=1,7,IF(COUNTIFS('04_Triggers'!B:B,A25,'04_Triggers'!D:D,"&gt;="&amp;(TODAY()-1095),'04_Triggers'!D:D,"&lt;"&amp;(TODAY()-365))&gt;=1,7,0))))))</f>
        <v>0</v>
      </c>
      <c r="AB25" s="6">
        <f>IF(M25="","",IFERROR(VLOOKUP(M25,Scoring_Lookups!$J$5:$K$16,2,FALSE()),0))</f>
        <v>3</v>
      </c>
      <c r="AC25" s="6">
        <f>IF(O25="","",IFERROR(VLOOKUP(O25,Scoring_Lookups!$M$5:$N$8,2,FALSE()),0))</f>
        <v>4</v>
      </c>
      <c r="AD25" s="6">
        <f>IF(L25="","",IFERROR(VLOOKUP(L25,Scoring_Lookups!$P$5:$Q$9,2,FALSE()),0))</f>
        <v>8</v>
      </c>
      <c r="AE25" s="6">
        <f t="shared" si="2"/>
        <v>10</v>
      </c>
      <c r="AF25" s="6">
        <f t="shared" ca="1" si="3"/>
        <v>63</v>
      </c>
      <c r="AG25" s="6" t="str">
        <f t="shared" si="4"/>
        <v>OK</v>
      </c>
      <c r="AH25" s="6" t="s">
        <v>56</v>
      </c>
      <c r="AI25" s="6" t="str">
        <f t="shared" ca="1" si="5"/>
        <v>Priority 2</v>
      </c>
      <c r="AJ25" s="4" t="str">
        <f t="shared" ca="1" si="6"/>
        <v>P1 Lending (Consumer)=7 | P2 848=10 | P3 Poland=12 | P4 BIN Sponsor Agreement In Place=6 | P5 Listed Stable=3 | P6=0 | P7 Incumbent Unknown=3 | P8 Cloud modern, Not API-first=4 | P9 Existing BIN Sponsor Relationship=8 | P10=10</v>
      </c>
      <c r="AK25" s="4"/>
      <c r="AL25" s="4" t="s">
        <v>61</v>
      </c>
      <c r="AM25" s="4" t="s">
        <v>56</v>
      </c>
      <c r="AN25" s="4"/>
      <c r="AO25" s="4" t="s">
        <v>92</v>
      </c>
      <c r="AP25" s="4" t="str">
        <f t="shared" si="7"/>
        <v>OK</v>
      </c>
      <c r="AQ25" s="4" t="s">
        <v>84</v>
      </c>
    </row>
    <row r="26" spans="1:43" ht="99.75" customHeight="1" x14ac:dyDescent="0.2">
      <c r="A26" s="3" t="s">
        <v>164</v>
      </c>
      <c r="B26" s="3" t="s">
        <v>165</v>
      </c>
      <c r="C26" s="3" t="s">
        <v>47</v>
      </c>
      <c r="D26" s="3" t="s">
        <v>48</v>
      </c>
      <c r="E26" s="3" t="s">
        <v>166</v>
      </c>
      <c r="F26" s="3">
        <v>78</v>
      </c>
      <c r="G26" s="3" t="s">
        <v>67</v>
      </c>
      <c r="H26" s="3" t="s">
        <v>68</v>
      </c>
      <c r="I26" s="3" t="s">
        <v>69</v>
      </c>
      <c r="J26" s="3"/>
      <c r="K26" s="3" t="s">
        <v>167</v>
      </c>
      <c r="L26" s="3" t="s">
        <v>77</v>
      </c>
      <c r="M26" s="3" t="s">
        <v>159</v>
      </c>
      <c r="N26" s="3" t="s">
        <v>56</v>
      </c>
      <c r="O26" s="3" t="s">
        <v>70</v>
      </c>
      <c r="P26" s="3">
        <v>30000</v>
      </c>
      <c r="Q26" s="3">
        <v>100000</v>
      </c>
      <c r="R26" s="3" t="s">
        <v>56</v>
      </c>
      <c r="S26" s="3" t="s">
        <v>90</v>
      </c>
      <c r="T26" s="7">
        <v>46216</v>
      </c>
      <c r="U26" s="3" t="s">
        <v>168</v>
      </c>
      <c r="V26" s="6">
        <f>IF(E26="","",IFERROR(VLOOKUP(E26,Scoring_Lookups!$A$5:$B$18,2,FALSE()),0))</f>
        <v>4</v>
      </c>
      <c r="W26" s="6">
        <f t="shared" si="0"/>
        <v>10</v>
      </c>
      <c r="X26" s="6">
        <f>IF(C26="","",IFERROR(VLOOKUP(C26,Scoring_Lookups!$D$5:$E$35,2,FALSE()),0))</f>
        <v>12</v>
      </c>
      <c r="Y26" s="6">
        <f>IF(G26="","",IFERROR(VLOOKUP(G26,Scoring_Lookups!$G$5:$H$16,2,FALSE()),0))</f>
        <v>6</v>
      </c>
      <c r="Z26" s="6">
        <f t="shared" ca="1" si="1"/>
        <v>6</v>
      </c>
      <c r="AA26" s="6">
        <f ca="1">IF(N26="Yes",0,IF(A26="",0,IF(COUNTIFS('04_Triggers'!B:B,A26,'04_Triggers'!D:D,"&gt;="&amp;(TODAY()-365))&gt;=2,20,IF(COUNTIFS('04_Triggers'!B:B,A26,'04_Triggers'!D:D,"&gt;="&amp;(TODAY()-365),'04_Triggers'!G:G,"High")&gt;=1,14,IF(COUNTIFS('04_Triggers'!B:B,A26,'04_Triggers'!D:D,"&gt;="&amp;(TODAY()-365))&gt;=1,7,IF(COUNTIFS('04_Triggers'!B:B,A26,'04_Triggers'!D:D,"&gt;="&amp;(TODAY()-1095),'04_Triggers'!D:D,"&lt;"&amp;(TODAY()-365))&gt;=1,7,0))))))</f>
        <v>14</v>
      </c>
      <c r="AB26" s="6">
        <f>IF(M26="","",IFERROR(VLOOKUP(M26,Scoring_Lookups!$J$5:$K$16,2,FALSE()),0))</f>
        <v>6</v>
      </c>
      <c r="AC26" s="6">
        <f>IF(O26="","",IFERROR(VLOOKUP(O26,Scoring_Lookups!$M$5:$N$8,2,FALSE()),0))</f>
        <v>4</v>
      </c>
      <c r="AD26" s="6">
        <f>IF(L26="","",IFERROR(VLOOKUP(L26,Scoring_Lookups!$P$5:$Q$9,2,FALSE()),0))</f>
        <v>8</v>
      </c>
      <c r="AE26" s="6">
        <f t="shared" si="2"/>
        <v>7</v>
      </c>
      <c r="AF26" s="6">
        <f t="shared" ca="1" si="3"/>
        <v>77</v>
      </c>
      <c r="AG26" s="6" t="str">
        <f t="shared" si="4"/>
        <v>OK</v>
      </c>
      <c r="AH26" s="6" t="s">
        <v>56</v>
      </c>
      <c r="AI26" s="6" t="str">
        <f t="shared" ca="1" si="5"/>
        <v>Priority 2</v>
      </c>
      <c r="AJ26" s="3" t="str">
        <f t="shared" ca="1" si="6"/>
        <v>P1 Crypto=4 | P2 78=10 | P3 Poland=12 | P4 BIN Sponsor Agreement In Place=6 | P5 Bootstrapped Profitable=6 | P6=14 | P7 Smaller/Less-known Processor=6 | P8 Cloud modern, Not API-first=4 | P9 Existing BIN Sponsor Relationship=8 | P10=7</v>
      </c>
      <c r="AK26" s="3"/>
      <c r="AL26" s="3" t="s">
        <v>61</v>
      </c>
      <c r="AM26" s="3" t="s">
        <v>56</v>
      </c>
      <c r="AN26" s="3"/>
      <c r="AO26" s="3" t="s">
        <v>92</v>
      </c>
      <c r="AP26" s="3" t="str">
        <f t="shared" si="7"/>
        <v>OK</v>
      </c>
      <c r="AQ26" s="3" t="s">
        <v>84</v>
      </c>
    </row>
    <row r="27" spans="1:43" ht="99.75" customHeight="1" x14ac:dyDescent="0.2">
      <c r="A27" s="4" t="s">
        <v>169</v>
      </c>
      <c r="B27" s="4" t="s">
        <v>170</v>
      </c>
      <c r="C27" s="4" t="s">
        <v>47</v>
      </c>
      <c r="D27" s="4" t="s">
        <v>48</v>
      </c>
      <c r="E27" s="4" t="s">
        <v>76</v>
      </c>
      <c r="F27" s="4">
        <v>150</v>
      </c>
      <c r="G27" s="4" t="s">
        <v>67</v>
      </c>
      <c r="H27" s="4" t="s">
        <v>68</v>
      </c>
      <c r="I27" s="4" t="s">
        <v>69</v>
      </c>
      <c r="J27" s="4"/>
      <c r="K27" s="4" t="s">
        <v>171</v>
      </c>
      <c r="L27" s="4" t="s">
        <v>77</v>
      </c>
      <c r="M27" s="4" t="s">
        <v>172</v>
      </c>
      <c r="N27" s="4" t="s">
        <v>56</v>
      </c>
      <c r="O27" s="4" t="s">
        <v>57</v>
      </c>
      <c r="P27" s="4">
        <v>200000</v>
      </c>
      <c r="Q27" s="4">
        <v>400000</v>
      </c>
      <c r="R27" s="4" t="s">
        <v>71</v>
      </c>
      <c r="S27" s="4" t="s">
        <v>90</v>
      </c>
      <c r="T27" s="5">
        <v>46216</v>
      </c>
      <c r="U27" s="4" t="s">
        <v>173</v>
      </c>
      <c r="V27" s="6">
        <f>IF(E27="","",IFERROR(VLOOKUP(E27,Scoring_Lookups!$A$5:$B$18,2,FALSE()),0))</f>
        <v>7</v>
      </c>
      <c r="W27" s="6">
        <f t="shared" si="0"/>
        <v>10</v>
      </c>
      <c r="X27" s="6">
        <f>IF(C27="","",IFERROR(VLOOKUP(C27,Scoring_Lookups!$D$5:$E$35,2,FALSE()),0))</f>
        <v>12</v>
      </c>
      <c r="Y27" s="6">
        <f>IF(G27="","",IFERROR(VLOOKUP(G27,Scoring_Lookups!$G$5:$H$16,2,FALSE()),0))</f>
        <v>6</v>
      </c>
      <c r="Z27" s="6">
        <f t="shared" ca="1" si="1"/>
        <v>6</v>
      </c>
      <c r="AA27" s="6">
        <f ca="1">IF(N27="Yes",0,IF(A27="",0,IF(COUNTIFS('04_Triggers'!B:B,A27,'04_Triggers'!D:D,"&gt;="&amp;(TODAY()-365))&gt;=2,20,IF(COUNTIFS('04_Triggers'!B:B,A27,'04_Triggers'!D:D,"&gt;="&amp;(TODAY()-365),'04_Triggers'!G:G,"High")&gt;=1,14,IF(COUNTIFS('04_Triggers'!B:B,A27,'04_Triggers'!D:D,"&gt;="&amp;(TODAY()-365))&gt;=1,7,IF(COUNTIFS('04_Triggers'!B:B,A27,'04_Triggers'!D:D,"&gt;="&amp;(TODAY()-1095),'04_Triggers'!D:D,"&lt;"&amp;(TODAY()-365))&gt;=1,7,0))))))</f>
        <v>14</v>
      </c>
      <c r="AB27" s="6">
        <f>IF(M27="","",IFERROR(VLOOKUP(M27,Scoring_Lookups!$J$5:$K$16,2,FALSE()),0))</f>
        <v>6</v>
      </c>
      <c r="AC27" s="6">
        <f>IF(O27="","",IFERROR(VLOOKUP(O27,Scoring_Lookups!$M$5:$N$8,2,FALSE()),0))</f>
        <v>6</v>
      </c>
      <c r="AD27" s="6">
        <f>IF(L27="","",IFERROR(VLOOKUP(L27,Scoring_Lookups!$P$5:$Q$9,2,FALSE()),0))</f>
        <v>8</v>
      </c>
      <c r="AE27" s="6">
        <f t="shared" si="2"/>
        <v>10</v>
      </c>
      <c r="AF27" s="6">
        <f t="shared" ca="1" si="3"/>
        <v>85</v>
      </c>
      <c r="AG27" s="6" t="str">
        <f t="shared" si="4"/>
        <v>OK</v>
      </c>
      <c r="AH27" s="6" t="s">
        <v>56</v>
      </c>
      <c r="AI27" s="6" t="str">
        <f t="shared" ca="1" si="5"/>
        <v>Priority 1</v>
      </c>
      <c r="AJ27" s="4" t="str">
        <f t="shared" ca="1" si="6"/>
        <v>P1 BaaS=7 | P2 150=10 | P3 Poland=12 | P4 BIN Sponsor Agreement In Place=6 | P5 Bootstrapped Profitable=6 | P6=14 | P7 Hybrid In-house Solution=6 | P8 Cloud-native (AWS/Azure/GCP), API-first, AI signals=6 | P9 Existing BIN Sponsor Relationship=8 | P10=10</v>
      </c>
      <c r="AK27" s="4"/>
      <c r="AL27" s="4" t="s">
        <v>61</v>
      </c>
      <c r="AM27" s="4" t="s">
        <v>56</v>
      </c>
      <c r="AN27" s="4"/>
      <c r="AO27" s="4" t="s">
        <v>92</v>
      </c>
      <c r="AP27" s="4" t="str">
        <f t="shared" si="7"/>
        <v>OK</v>
      </c>
      <c r="AQ27" s="4" t="s">
        <v>63</v>
      </c>
    </row>
    <row r="28" spans="1:43" ht="99.75" customHeight="1" x14ac:dyDescent="0.2">
      <c r="A28" s="3" t="s">
        <v>174</v>
      </c>
      <c r="B28" s="3" t="s">
        <v>167</v>
      </c>
      <c r="C28" s="3" t="s">
        <v>47</v>
      </c>
      <c r="D28" s="3" t="s">
        <v>48</v>
      </c>
      <c r="E28" s="3" t="s">
        <v>76</v>
      </c>
      <c r="F28" s="3">
        <v>600</v>
      </c>
      <c r="G28" s="3" t="s">
        <v>175</v>
      </c>
      <c r="H28" s="3" t="s">
        <v>68</v>
      </c>
      <c r="I28" s="3" t="s">
        <v>69</v>
      </c>
      <c r="J28" s="3"/>
      <c r="K28" s="3" t="s">
        <v>176</v>
      </c>
      <c r="L28" s="3" t="s">
        <v>138</v>
      </c>
      <c r="M28" s="3" t="s">
        <v>130</v>
      </c>
      <c r="N28" s="3" t="s">
        <v>56</v>
      </c>
      <c r="O28" s="3" t="s">
        <v>57</v>
      </c>
      <c r="P28" s="3">
        <v>200000</v>
      </c>
      <c r="Q28" s="3">
        <v>500000</v>
      </c>
      <c r="R28" s="3" t="s">
        <v>71</v>
      </c>
      <c r="S28" s="3" t="s">
        <v>90</v>
      </c>
      <c r="T28" s="7">
        <v>46216</v>
      </c>
      <c r="U28" s="3" t="s">
        <v>177</v>
      </c>
      <c r="V28" s="6">
        <f>IF(E28="","",IFERROR(VLOOKUP(E28,Scoring_Lookups!$A$5:$B$18,2,FALSE()),0))</f>
        <v>7</v>
      </c>
      <c r="W28" s="6">
        <f t="shared" si="0"/>
        <v>10</v>
      </c>
      <c r="X28" s="6">
        <f>IF(C28="","",IFERROR(VLOOKUP(C28,Scoring_Lookups!$D$5:$E$35,2,FALSE()),0))</f>
        <v>12</v>
      </c>
      <c r="Y28" s="6">
        <f>IF(G28="","",IFERROR(VLOOKUP(G28,Scoring_Lookups!$G$5:$H$16,2,FALSE()),0))</f>
        <v>8</v>
      </c>
      <c r="Z28" s="6">
        <f t="shared" ca="1" si="1"/>
        <v>6</v>
      </c>
      <c r="AA28" s="6">
        <f ca="1">IF(N28="Yes",0,IF(A28="",0,IF(COUNTIFS('04_Triggers'!B:B,A28,'04_Triggers'!D:D,"&gt;="&amp;(TODAY()-365))&gt;=2,20,IF(COUNTIFS('04_Triggers'!B:B,A28,'04_Triggers'!D:D,"&gt;="&amp;(TODAY()-365),'04_Triggers'!G:G,"High")&gt;=1,14,IF(COUNTIFS('04_Triggers'!B:B,A28,'04_Triggers'!D:D,"&gt;="&amp;(TODAY()-365))&gt;=1,7,IF(COUNTIFS('04_Triggers'!B:B,A28,'04_Triggers'!D:D,"&gt;="&amp;(TODAY()-1095),'04_Triggers'!D:D,"&lt;"&amp;(TODAY()-365))&gt;=1,7,0))))))</f>
        <v>7</v>
      </c>
      <c r="AB28" s="6">
        <f>IF(M28="","",IFERROR(VLOOKUP(M28,Scoring_Lookups!$J$5:$K$16,2,FALSE()),0))</f>
        <v>8</v>
      </c>
      <c r="AC28" s="6">
        <f>IF(O28="","",IFERROR(VLOOKUP(O28,Scoring_Lookups!$M$5:$N$8,2,FALSE()),0))</f>
        <v>6</v>
      </c>
      <c r="AD28" s="6">
        <f>IF(L28="","",IFERROR(VLOOKUP(L28,Scoring_Lookups!$P$5:$Q$9,2,FALSE()),0))</f>
        <v>8</v>
      </c>
      <c r="AE28" s="6">
        <f t="shared" si="2"/>
        <v>10</v>
      </c>
      <c r="AF28" s="6">
        <f t="shared" ca="1" si="3"/>
        <v>82</v>
      </c>
      <c r="AG28" s="6" t="str">
        <f t="shared" si="4"/>
        <v>OK</v>
      </c>
      <c r="AH28" s="6" t="s">
        <v>56</v>
      </c>
      <c r="AI28" s="6" t="str">
        <f t="shared" ca="1" si="5"/>
        <v>Priority 1</v>
      </c>
      <c r="AJ28" s="3" t="str">
        <f t="shared" ca="1" si="6"/>
        <v>P1 BaaS=7 | P2 600=10 | P3 Poland=12 | P4 EMI Licence=8 | P5 Bootstrapped Profitable=6 | P6=7 | P7 In-house Legacy Processor=8 | P8 Cloud-native (AWS/Azure/GCP), API-first, AI signals=6 | P9 Scheme Principal=8 | P10=10</v>
      </c>
      <c r="AK28" s="3"/>
      <c r="AL28" s="3" t="s">
        <v>61</v>
      </c>
      <c r="AM28" s="3" t="s">
        <v>56</v>
      </c>
      <c r="AN28" s="3"/>
      <c r="AO28" s="3" t="s">
        <v>92</v>
      </c>
      <c r="AP28" s="3" t="str">
        <f t="shared" si="7"/>
        <v>OK</v>
      </c>
      <c r="AQ28" s="3" t="s">
        <v>63</v>
      </c>
    </row>
    <row r="29" spans="1:43" ht="99.75" customHeight="1" x14ac:dyDescent="0.2">
      <c r="A29" s="4" t="s">
        <v>178</v>
      </c>
      <c r="B29" s="4" t="s">
        <v>179</v>
      </c>
      <c r="C29" s="4" t="s">
        <v>47</v>
      </c>
      <c r="D29" s="4" t="s">
        <v>180</v>
      </c>
      <c r="E29" s="4" t="s">
        <v>181</v>
      </c>
      <c r="F29" s="4">
        <v>1090</v>
      </c>
      <c r="G29" s="4" t="s">
        <v>182</v>
      </c>
      <c r="H29" s="4" t="s">
        <v>68</v>
      </c>
      <c r="I29" s="4" t="s">
        <v>183</v>
      </c>
      <c r="J29" s="4"/>
      <c r="K29" s="4" t="s">
        <v>184</v>
      </c>
      <c r="L29" s="4" t="s">
        <v>185</v>
      </c>
      <c r="M29" s="4" t="s">
        <v>186</v>
      </c>
      <c r="N29" s="4" t="s">
        <v>56</v>
      </c>
      <c r="O29" s="4" t="s">
        <v>70</v>
      </c>
      <c r="P29" s="4">
        <v>0</v>
      </c>
      <c r="Q29" s="4">
        <v>50000</v>
      </c>
      <c r="R29" s="4" t="s">
        <v>56</v>
      </c>
      <c r="S29" s="4" t="s">
        <v>90</v>
      </c>
      <c r="T29" s="5">
        <v>46216</v>
      </c>
      <c r="U29" s="4" t="s">
        <v>187</v>
      </c>
      <c r="V29" s="6">
        <f>IF(E29="","",IFERROR(VLOOKUP(E29,Scoring_Lookups!$A$5:$B$18,2,FALSE()),0))</f>
        <v>4</v>
      </c>
      <c r="W29" s="6">
        <f t="shared" si="0"/>
        <v>7</v>
      </c>
      <c r="X29" s="6">
        <f>IF(C29="","",IFERROR(VLOOKUP(C29,Scoring_Lookups!$D$5:$E$35,2,FALSE()),0))</f>
        <v>12</v>
      </c>
      <c r="Y29" s="6">
        <f>IF(G29="","",IFERROR(VLOOKUP(G29,Scoring_Lookups!$G$5:$H$16,2,FALSE()),0))</f>
        <v>0</v>
      </c>
      <c r="Z29" s="6">
        <f t="shared" ca="1" si="1"/>
        <v>3</v>
      </c>
      <c r="AA29" s="6">
        <f ca="1">IF(N29="Yes",0,IF(A29="",0,IF(COUNTIFS('04_Triggers'!B:B,A29,'04_Triggers'!D:D,"&gt;="&amp;(TODAY()-365))&gt;=2,20,IF(COUNTIFS('04_Triggers'!B:B,A29,'04_Triggers'!D:D,"&gt;="&amp;(TODAY()-365),'04_Triggers'!G:G,"High")&gt;=1,14,IF(COUNTIFS('04_Triggers'!B:B,A29,'04_Triggers'!D:D,"&gt;="&amp;(TODAY()-365))&gt;=1,7,IF(COUNTIFS('04_Triggers'!B:B,A29,'04_Triggers'!D:D,"&gt;="&amp;(TODAY()-1095),'04_Triggers'!D:D,"&lt;"&amp;(TODAY()-365))&gt;=1,7,0))))))</f>
        <v>0</v>
      </c>
      <c r="AB29" s="6">
        <f>IF(M29="","",IFERROR(VLOOKUP(M29,Scoring_Lookups!$J$5:$K$16,2,FALSE()),0))</f>
        <v>0</v>
      </c>
      <c r="AC29" s="6">
        <f>IF(O29="","",IFERROR(VLOOKUP(O29,Scoring_Lookups!$M$5:$N$8,2,FALSE()),0))</f>
        <v>4</v>
      </c>
      <c r="AD29" s="6">
        <f>IF(L29="","",IFERROR(VLOOKUP(L29,Scoring_Lookups!$P$5:$Q$9,2,FALSE()),0))</f>
        <v>0</v>
      </c>
      <c r="AE29" s="6">
        <f t="shared" si="2"/>
        <v>4</v>
      </c>
      <c r="AF29" s="6">
        <f t="shared" ca="1" si="3"/>
        <v>34</v>
      </c>
      <c r="AG29" s="6" t="str">
        <f t="shared" si="4"/>
        <v>DQ Gating</v>
      </c>
      <c r="AH29" s="6" t="s">
        <v>56</v>
      </c>
      <c r="AI29" s="6" t="str">
        <f t="shared" si="5"/>
        <v>Disqualified</v>
      </c>
      <c r="AJ29" s="4" t="str">
        <f t="shared" ca="1" si="6"/>
        <v>P1 Ecommerce=4 | P2 1090=7 | P3 Poland=12 | P4 Unlicensed, No Sponsor=0 | P5 Established Private Flat=3 | P6=0 | P7 No Card Program, No Plan=0 | P8 Cloud modern, Not API-first=4 | P9 No Scheme Participation Path=0 | P10=4</v>
      </c>
      <c r="AK29" s="4"/>
      <c r="AL29" s="4" t="s">
        <v>61</v>
      </c>
      <c r="AM29" s="4" t="s">
        <v>56</v>
      </c>
      <c r="AN29" s="4"/>
      <c r="AO29" s="4" t="s">
        <v>188</v>
      </c>
      <c r="AP29" s="4" t="str">
        <f t="shared" si="7"/>
        <v>Watch</v>
      </c>
      <c r="AQ29" s="4" t="s">
        <v>84</v>
      </c>
    </row>
    <row r="30" spans="1:43" ht="99.75" customHeight="1" x14ac:dyDescent="0.2">
      <c r="A30" s="3" t="s">
        <v>189</v>
      </c>
      <c r="B30" s="3" t="s">
        <v>190</v>
      </c>
      <c r="C30" s="3" t="s">
        <v>47</v>
      </c>
      <c r="D30" s="3" t="s">
        <v>48</v>
      </c>
      <c r="E30" s="3" t="s">
        <v>166</v>
      </c>
      <c r="F30" s="3">
        <v>160</v>
      </c>
      <c r="G30" s="3" t="s">
        <v>118</v>
      </c>
      <c r="H30" s="3" t="s">
        <v>51</v>
      </c>
      <c r="I30" s="3" t="s">
        <v>87</v>
      </c>
      <c r="J30" s="3"/>
      <c r="K30" s="3" t="s">
        <v>53</v>
      </c>
      <c r="L30" s="3" t="s">
        <v>54</v>
      </c>
      <c r="M30" s="3" t="s">
        <v>186</v>
      </c>
      <c r="N30" s="3" t="s">
        <v>56</v>
      </c>
      <c r="O30" s="3" t="s">
        <v>57</v>
      </c>
      <c r="P30" s="3">
        <v>0</v>
      </c>
      <c r="Q30" s="3">
        <v>0</v>
      </c>
      <c r="R30" s="3" t="s">
        <v>58</v>
      </c>
      <c r="S30" s="3" t="s">
        <v>90</v>
      </c>
      <c r="T30" s="7">
        <v>46216</v>
      </c>
      <c r="U30" s="3" t="s">
        <v>191</v>
      </c>
      <c r="V30" s="6">
        <f>IF(E30="","",IFERROR(VLOOKUP(E30,Scoring_Lookups!$A$5:$B$18,2,FALSE()),0))</f>
        <v>4</v>
      </c>
      <c r="W30" s="6">
        <f t="shared" si="0"/>
        <v>10</v>
      </c>
      <c r="X30" s="6">
        <f>IF(C30="","",IFERROR(VLOOKUP(C30,Scoring_Lookups!$D$5:$E$35,2,FALSE()),0))</f>
        <v>12</v>
      </c>
      <c r="Y30" s="6">
        <f>IF(G30="","",IFERROR(VLOOKUP(G30,Scoring_Lookups!$G$5:$H$16,2,FALSE()),0))</f>
        <v>3</v>
      </c>
      <c r="Z30" s="6">
        <f t="shared" ca="1" si="1"/>
        <v>6</v>
      </c>
      <c r="AA30" s="6">
        <f ca="1">IF(N30="Yes",0,IF(A30="",0,IF(COUNTIFS('04_Triggers'!B:B,A30,'04_Triggers'!D:D,"&gt;="&amp;(TODAY()-365))&gt;=2,20,IF(COUNTIFS('04_Triggers'!B:B,A30,'04_Triggers'!D:D,"&gt;="&amp;(TODAY()-365),'04_Triggers'!G:G,"High")&gt;=1,14,IF(COUNTIFS('04_Triggers'!B:B,A30,'04_Triggers'!D:D,"&gt;="&amp;(TODAY()-365))&gt;=1,7,IF(COUNTIFS('04_Triggers'!B:B,A30,'04_Triggers'!D:D,"&gt;="&amp;(TODAY()-1095),'04_Triggers'!D:D,"&lt;"&amp;(TODAY()-365))&gt;=1,7,0))))))</f>
        <v>20</v>
      </c>
      <c r="AB30" s="6">
        <f>IF(M30="","",IFERROR(VLOOKUP(M30,Scoring_Lookups!$J$5:$K$16,2,FALSE()),0))</f>
        <v>0</v>
      </c>
      <c r="AC30" s="6">
        <f>IF(O30="","",IFERROR(VLOOKUP(O30,Scoring_Lookups!$M$5:$N$8,2,FALSE()),0))</f>
        <v>6</v>
      </c>
      <c r="AD30" s="6">
        <f>IF(L30="","",IFERROR(VLOOKUP(L30,Scoring_Lookups!$P$5:$Q$9,2,FALSE()),0))</f>
        <v>3</v>
      </c>
      <c r="AE30" s="6">
        <f t="shared" si="2"/>
        <v>0</v>
      </c>
      <c r="AF30" s="6">
        <f t="shared" ca="1" si="3"/>
        <v>64</v>
      </c>
      <c r="AG30" s="6" t="str">
        <f t="shared" si="4"/>
        <v>OK</v>
      </c>
      <c r="AH30" s="6" t="s">
        <v>56</v>
      </c>
      <c r="AI30" s="6" t="str">
        <f t="shared" ca="1" si="5"/>
        <v>Priority 2</v>
      </c>
      <c r="AJ30" s="3" t="str">
        <f t="shared" ca="1" si="6"/>
        <v>P1 Crypto=4 | P2 160=10 | P3 Poland=12 | P4 No Licence, BIN Sponsor Engaged=3 | P5 Series A=6 | P6=20 | P7 No Card Program, No Plan=0 | P8 Cloud-native (AWS/Azure/GCP), API-first, AI signals=6 | P9 No Sponsor, Licensing Suggests Imminent=3 | P10=0</v>
      </c>
      <c r="AK30" s="3"/>
      <c r="AL30" s="3" t="s">
        <v>61</v>
      </c>
      <c r="AM30" s="3" t="s">
        <v>56</v>
      </c>
      <c r="AN30" s="3"/>
      <c r="AO30" s="3" t="s">
        <v>188</v>
      </c>
      <c r="AP30" s="3" t="str">
        <f t="shared" si="7"/>
        <v>Watch</v>
      </c>
      <c r="AQ30" s="3" t="s">
        <v>84</v>
      </c>
    </row>
    <row r="31" spans="1:43" ht="99.75" customHeight="1" x14ac:dyDescent="0.2">
      <c r="A31" s="4" t="s">
        <v>192</v>
      </c>
      <c r="B31" s="4" t="s">
        <v>193</v>
      </c>
      <c r="C31" s="4" t="s">
        <v>47</v>
      </c>
      <c r="D31" s="4" t="s">
        <v>48</v>
      </c>
      <c r="E31" s="4" t="s">
        <v>166</v>
      </c>
      <c r="F31" s="4">
        <v>15</v>
      </c>
      <c r="G31" s="4" t="s">
        <v>118</v>
      </c>
      <c r="H31" s="4" t="s">
        <v>68</v>
      </c>
      <c r="I31" s="4" t="s">
        <v>194</v>
      </c>
      <c r="J31" s="4"/>
      <c r="K31" s="4" t="s">
        <v>195</v>
      </c>
      <c r="L31" s="4" t="s">
        <v>54</v>
      </c>
      <c r="M31" s="4" t="s">
        <v>159</v>
      </c>
      <c r="N31" s="4" t="s">
        <v>56</v>
      </c>
      <c r="O31" s="4" t="s">
        <v>57</v>
      </c>
      <c r="P31" s="4">
        <v>5000</v>
      </c>
      <c r="Q31" s="4">
        <v>25000</v>
      </c>
      <c r="R31" s="4" t="s">
        <v>56</v>
      </c>
      <c r="S31" s="4" t="s">
        <v>59</v>
      </c>
      <c r="T31" s="5">
        <v>46216</v>
      </c>
      <c r="U31" s="4" t="s">
        <v>196</v>
      </c>
      <c r="V31" s="6">
        <f>IF(E31="","",IFERROR(VLOOKUP(E31,Scoring_Lookups!$A$5:$B$18,2,FALSE()),0))</f>
        <v>4</v>
      </c>
      <c r="W31" s="6">
        <f t="shared" si="0"/>
        <v>4</v>
      </c>
      <c r="X31" s="6">
        <f>IF(C31="","",IFERROR(VLOOKUP(C31,Scoring_Lookups!$D$5:$E$35,2,FALSE()),0))</f>
        <v>12</v>
      </c>
      <c r="Y31" s="6">
        <f>IF(G31="","",IFERROR(VLOOKUP(G31,Scoring_Lookups!$G$5:$H$16,2,FALSE()),0))</f>
        <v>3</v>
      </c>
      <c r="Z31" s="6">
        <f t="shared" ca="1" si="1"/>
        <v>3</v>
      </c>
      <c r="AA31" s="6">
        <f ca="1">IF(N31="Yes",0,IF(A31="",0,IF(COUNTIFS('04_Triggers'!B:B,A31,'04_Triggers'!D:D,"&gt;="&amp;(TODAY()-365))&gt;=2,20,IF(COUNTIFS('04_Triggers'!B:B,A31,'04_Triggers'!D:D,"&gt;="&amp;(TODAY()-365),'04_Triggers'!G:G,"High")&gt;=1,14,IF(COUNTIFS('04_Triggers'!B:B,A31,'04_Triggers'!D:D,"&gt;="&amp;(TODAY()-365))&gt;=1,7,IF(COUNTIFS('04_Triggers'!B:B,A31,'04_Triggers'!D:D,"&gt;="&amp;(TODAY()-1095),'04_Triggers'!D:D,"&lt;"&amp;(TODAY()-365))&gt;=1,7,0))))))</f>
        <v>14</v>
      </c>
      <c r="AB31" s="6">
        <f>IF(M31="","",IFERROR(VLOOKUP(M31,Scoring_Lookups!$J$5:$K$16,2,FALSE()),0))</f>
        <v>6</v>
      </c>
      <c r="AC31" s="6">
        <f>IF(O31="","",IFERROR(VLOOKUP(O31,Scoring_Lookups!$M$5:$N$8,2,FALSE()),0))</f>
        <v>6</v>
      </c>
      <c r="AD31" s="6">
        <f>IF(L31="","",IFERROR(VLOOKUP(L31,Scoring_Lookups!$P$5:$Q$9,2,FALSE()),0))</f>
        <v>3</v>
      </c>
      <c r="AE31" s="6">
        <f t="shared" si="2"/>
        <v>4</v>
      </c>
      <c r="AF31" s="6">
        <f t="shared" ca="1" si="3"/>
        <v>59</v>
      </c>
      <c r="AG31" s="6" t="str">
        <f t="shared" si="4"/>
        <v>OK</v>
      </c>
      <c r="AH31" s="6" t="s">
        <v>56</v>
      </c>
      <c r="AI31" s="6" t="str">
        <f t="shared" ca="1" si="5"/>
        <v>Priority 3</v>
      </c>
      <c r="AJ31" s="4" t="str">
        <f t="shared" ca="1" si="6"/>
        <v>P1 Crypto=4 | P2 15=4 | P3 Poland=12 | P4 No Licence, BIN Sponsor Engaged=3 | P5 Bootstrapped=3 | P6=14 | P7 Smaller/Less-known Processor=6 | P8 Cloud-native (AWS/Azure/GCP), API-first, AI signals=6 | P9 No Sponsor, Licensing Suggests Imminent=3 | P10=4</v>
      </c>
      <c r="AK31" s="4"/>
      <c r="AL31" s="4" t="s">
        <v>61</v>
      </c>
      <c r="AM31" s="4" t="s">
        <v>56</v>
      </c>
      <c r="AN31" s="4"/>
      <c r="AO31" s="4" t="s">
        <v>197</v>
      </c>
      <c r="AP31" s="4" t="str">
        <f t="shared" si="7"/>
        <v>Deferred</v>
      </c>
      <c r="AQ31" s="4" t="s">
        <v>84</v>
      </c>
    </row>
    <row r="32" spans="1:43" ht="99.75" customHeight="1" x14ac:dyDescent="0.2">
      <c r="A32" s="3" t="s">
        <v>198</v>
      </c>
      <c r="B32" s="3" t="s">
        <v>199</v>
      </c>
      <c r="C32" s="3" t="s">
        <v>47</v>
      </c>
      <c r="D32" s="3" t="s">
        <v>48</v>
      </c>
      <c r="E32" s="3" t="s">
        <v>49</v>
      </c>
      <c r="F32" s="3">
        <v>25</v>
      </c>
      <c r="G32" s="3" t="s">
        <v>118</v>
      </c>
      <c r="H32" s="3" t="s">
        <v>68</v>
      </c>
      <c r="I32" s="3" t="s">
        <v>194</v>
      </c>
      <c r="J32" s="3"/>
      <c r="K32" s="3" t="s">
        <v>195</v>
      </c>
      <c r="L32" s="3" t="s">
        <v>54</v>
      </c>
      <c r="M32" s="3" t="s">
        <v>159</v>
      </c>
      <c r="N32" s="3" t="s">
        <v>56</v>
      </c>
      <c r="O32" s="3" t="s">
        <v>57</v>
      </c>
      <c r="P32" s="3">
        <v>10000</v>
      </c>
      <c r="Q32" s="3">
        <v>50000</v>
      </c>
      <c r="R32" s="3" t="s">
        <v>56</v>
      </c>
      <c r="S32" s="3" t="s">
        <v>59</v>
      </c>
      <c r="T32" s="7">
        <v>46216</v>
      </c>
      <c r="U32" s="3" t="s">
        <v>200</v>
      </c>
      <c r="V32" s="6">
        <f>IF(E32="","",IFERROR(VLOOKUP(E32,Scoring_Lookups!$A$5:$B$18,2,FALSE()),0))</f>
        <v>4</v>
      </c>
      <c r="W32" s="6">
        <f t="shared" si="0"/>
        <v>7</v>
      </c>
      <c r="X32" s="6">
        <f>IF(C32="","",IFERROR(VLOOKUP(C32,Scoring_Lookups!$D$5:$E$35,2,FALSE()),0))</f>
        <v>12</v>
      </c>
      <c r="Y32" s="6">
        <f>IF(G32="","",IFERROR(VLOOKUP(G32,Scoring_Lookups!$G$5:$H$16,2,FALSE()),0))</f>
        <v>3</v>
      </c>
      <c r="Z32" s="6">
        <f t="shared" ca="1" si="1"/>
        <v>3</v>
      </c>
      <c r="AA32" s="6">
        <f ca="1">IF(N32="Yes",0,IF(A32="",0,IF(COUNTIFS('04_Triggers'!B:B,A32,'04_Triggers'!D:D,"&gt;="&amp;(TODAY()-365))&gt;=2,20,IF(COUNTIFS('04_Triggers'!B:B,A32,'04_Triggers'!D:D,"&gt;="&amp;(TODAY()-365),'04_Triggers'!G:G,"High")&gt;=1,14,IF(COUNTIFS('04_Triggers'!B:B,A32,'04_Triggers'!D:D,"&gt;="&amp;(TODAY()-365))&gt;=1,7,IF(COUNTIFS('04_Triggers'!B:B,A32,'04_Triggers'!D:D,"&gt;="&amp;(TODAY()-1095),'04_Triggers'!D:D,"&lt;"&amp;(TODAY()-365))&gt;=1,7,0))))))</f>
        <v>14</v>
      </c>
      <c r="AB32" s="6">
        <f>IF(M32="","",IFERROR(VLOOKUP(M32,Scoring_Lookups!$J$5:$K$16,2,FALSE()),0))</f>
        <v>6</v>
      </c>
      <c r="AC32" s="6">
        <f>IF(O32="","",IFERROR(VLOOKUP(O32,Scoring_Lookups!$M$5:$N$8,2,FALSE()),0))</f>
        <v>6</v>
      </c>
      <c r="AD32" s="6">
        <f>IF(L32="","",IFERROR(VLOOKUP(L32,Scoring_Lookups!$P$5:$Q$9,2,FALSE()),0))</f>
        <v>3</v>
      </c>
      <c r="AE32" s="6">
        <f t="shared" si="2"/>
        <v>4</v>
      </c>
      <c r="AF32" s="6">
        <f t="shared" ca="1" si="3"/>
        <v>62</v>
      </c>
      <c r="AG32" s="6" t="str">
        <f t="shared" si="4"/>
        <v>OK</v>
      </c>
      <c r="AH32" s="6" t="s">
        <v>56</v>
      </c>
      <c r="AI32" s="6" t="str">
        <f t="shared" ca="1" si="5"/>
        <v>Priority 2</v>
      </c>
      <c r="AJ32" s="3" t="str">
        <f t="shared" ca="1" si="6"/>
        <v>P1 Payments=4 | P2 25=7 | P3 Poland=12 | P4 No Licence, BIN Sponsor Engaged=3 | P5 Bootstrapped=3 | P6=14 | P7 Smaller/Less-known Processor=6 | P8 Cloud-native (AWS/Azure/GCP), API-first, AI signals=6 | P9 No Sponsor, Licensing Suggests Imminent=3 | P10=4</v>
      </c>
      <c r="AK32" s="3"/>
      <c r="AL32" s="3" t="s">
        <v>61</v>
      </c>
      <c r="AM32" s="3" t="s">
        <v>56</v>
      </c>
      <c r="AN32" s="3"/>
      <c r="AO32" s="3" t="s">
        <v>197</v>
      </c>
      <c r="AP32" s="3" t="str">
        <f t="shared" si="7"/>
        <v>Deferred</v>
      </c>
      <c r="AQ32" s="3" t="s">
        <v>84</v>
      </c>
    </row>
    <row r="33" spans="1:43" ht="99.75" customHeight="1" x14ac:dyDescent="0.2">
      <c r="A33" s="4" t="s">
        <v>201</v>
      </c>
      <c r="B33" s="4" t="s">
        <v>202</v>
      </c>
      <c r="C33" s="4" t="s">
        <v>203</v>
      </c>
      <c r="D33" s="4" t="s">
        <v>134</v>
      </c>
      <c r="E33" s="4" t="s">
        <v>135</v>
      </c>
      <c r="F33" s="4">
        <v>200</v>
      </c>
      <c r="G33" s="4" t="s">
        <v>136</v>
      </c>
      <c r="H33" s="4" t="s">
        <v>68</v>
      </c>
      <c r="I33" s="4" t="s">
        <v>69</v>
      </c>
      <c r="J33" s="4"/>
      <c r="K33" s="4" t="s">
        <v>137</v>
      </c>
      <c r="L33" s="4" t="s">
        <v>138</v>
      </c>
      <c r="M33" s="4" t="s">
        <v>159</v>
      </c>
      <c r="N33" s="4" t="s">
        <v>56</v>
      </c>
      <c r="O33" s="4" t="s">
        <v>57</v>
      </c>
      <c r="P33" s="4">
        <v>50000</v>
      </c>
      <c r="Q33" s="4">
        <v>200000</v>
      </c>
      <c r="R33" s="4" t="s">
        <v>71</v>
      </c>
      <c r="S33" s="4" t="s">
        <v>204</v>
      </c>
      <c r="T33" s="5">
        <v>46216</v>
      </c>
      <c r="U33" s="4" t="s">
        <v>205</v>
      </c>
      <c r="V33" s="6">
        <f>IF(E33="","",IFERROR(VLOOKUP(E33,Scoring_Lookups!$A$5:$B$18,2,FALSE()),0))</f>
        <v>10</v>
      </c>
      <c r="W33" s="6">
        <f t="shared" si="0"/>
        <v>10</v>
      </c>
      <c r="X33" s="6">
        <f>IF(C33="","",IFERROR(VLOOKUP(C33,Scoring_Lookups!$D$5:$E$35,2,FALSE()),0))</f>
        <v>12</v>
      </c>
      <c r="Y33" s="6">
        <f>IF(G33="","",IFERROR(VLOOKUP(G33,Scoring_Lookups!$G$5:$H$16,2,FALSE()),0))</f>
        <v>8</v>
      </c>
      <c r="Z33" s="6">
        <f t="shared" ca="1" si="1"/>
        <v>6</v>
      </c>
      <c r="AA33" s="6">
        <f ca="1">IF(N33="Yes",0,IF(A33="",0,IF(COUNTIFS('04_Triggers'!B:B,A33,'04_Triggers'!D:D,"&gt;="&amp;(TODAY()-365))&gt;=2,20,IF(COUNTIFS('04_Triggers'!B:B,A33,'04_Triggers'!D:D,"&gt;="&amp;(TODAY()-365),'04_Triggers'!G:G,"High")&gt;=1,14,IF(COUNTIFS('04_Triggers'!B:B,A33,'04_Triggers'!D:D,"&gt;="&amp;(TODAY()-365))&gt;=1,7,IF(COUNTIFS('04_Triggers'!B:B,A33,'04_Triggers'!D:D,"&gt;="&amp;(TODAY()-1095),'04_Triggers'!D:D,"&lt;"&amp;(TODAY()-365))&gt;=1,7,0))))))</f>
        <v>7</v>
      </c>
      <c r="AB33" s="6">
        <f>IF(M33="","",IFERROR(VLOOKUP(M33,Scoring_Lookups!$J$5:$K$16,2,FALSE()),0))</f>
        <v>6</v>
      </c>
      <c r="AC33" s="6">
        <f>IF(O33="","",IFERROR(VLOOKUP(O33,Scoring_Lookups!$M$5:$N$8,2,FALSE()),0))</f>
        <v>6</v>
      </c>
      <c r="AD33" s="6">
        <f>IF(L33="","",IFERROR(VLOOKUP(L33,Scoring_Lookups!$P$5:$Q$9,2,FALSE()),0))</f>
        <v>8</v>
      </c>
      <c r="AE33" s="6">
        <f t="shared" si="2"/>
        <v>10</v>
      </c>
      <c r="AF33" s="6">
        <f t="shared" ca="1" si="3"/>
        <v>83</v>
      </c>
      <c r="AG33" s="6" t="str">
        <f t="shared" si="4"/>
        <v>OK</v>
      </c>
      <c r="AH33" s="6" t="s">
        <v>56</v>
      </c>
      <c r="AI33" s="6" t="str">
        <f t="shared" ca="1" si="5"/>
        <v>Priority 1</v>
      </c>
      <c r="AJ33" s="4" t="str">
        <f t="shared" ca="1" si="6"/>
        <v>P1 Digital Banking=10 | P2 200=10 | P3 Czech Republic=12 | P4 Credit Institution Licence=8 | P5 Bootstrapped Profitable=6 | P6=7 | P7 Smaller/Less-known Processor=6 | P8 Cloud-native (AWS/Azure/GCP), API-first, AI signals=6 | P9 Scheme Principal=8 | P10=10</v>
      </c>
      <c r="AK33" s="4"/>
      <c r="AL33" s="4" t="s">
        <v>61</v>
      </c>
      <c r="AM33" s="4" t="s">
        <v>56</v>
      </c>
      <c r="AN33" s="4"/>
      <c r="AO33" s="4" t="s">
        <v>92</v>
      </c>
      <c r="AP33" s="4" t="str">
        <f t="shared" si="7"/>
        <v>OK</v>
      </c>
      <c r="AQ33" s="4" t="s">
        <v>84</v>
      </c>
    </row>
    <row r="34" spans="1:43" ht="99.75" customHeight="1" x14ac:dyDescent="0.2">
      <c r="A34" s="3" t="s">
        <v>206</v>
      </c>
      <c r="B34" s="3" t="s">
        <v>207</v>
      </c>
      <c r="C34" s="3" t="s">
        <v>203</v>
      </c>
      <c r="D34" s="3" t="s">
        <v>134</v>
      </c>
      <c r="E34" s="3" t="s">
        <v>135</v>
      </c>
      <c r="F34" s="3">
        <v>200</v>
      </c>
      <c r="G34" s="3" t="s">
        <v>136</v>
      </c>
      <c r="H34" s="3" t="s">
        <v>68</v>
      </c>
      <c r="I34" s="3" t="s">
        <v>194</v>
      </c>
      <c r="J34" s="3"/>
      <c r="K34" s="3" t="s">
        <v>137</v>
      </c>
      <c r="L34" s="3" t="s">
        <v>138</v>
      </c>
      <c r="M34" s="3" t="s">
        <v>55</v>
      </c>
      <c r="N34" s="3" t="s">
        <v>56</v>
      </c>
      <c r="O34" s="3" t="s">
        <v>70</v>
      </c>
      <c r="P34" s="3">
        <v>0</v>
      </c>
      <c r="Q34" s="3">
        <v>30000</v>
      </c>
      <c r="R34" s="3" t="s">
        <v>71</v>
      </c>
      <c r="S34" s="3" t="s">
        <v>204</v>
      </c>
      <c r="T34" s="7">
        <v>46216</v>
      </c>
      <c r="U34" s="3" t="s">
        <v>208</v>
      </c>
      <c r="V34" s="6">
        <f>IF(E34="","",IFERROR(VLOOKUP(E34,Scoring_Lookups!$A$5:$B$18,2,FALSE()),0))</f>
        <v>10</v>
      </c>
      <c r="W34" s="6">
        <f t="shared" si="0"/>
        <v>10</v>
      </c>
      <c r="X34" s="6">
        <f>IF(C34="","",IFERROR(VLOOKUP(C34,Scoring_Lookups!$D$5:$E$35,2,FALSE()),0))</f>
        <v>12</v>
      </c>
      <c r="Y34" s="6">
        <f>IF(G34="","",IFERROR(VLOOKUP(G34,Scoring_Lookups!$G$5:$H$16,2,FALSE()),0))</f>
        <v>8</v>
      </c>
      <c r="Z34" s="6">
        <f t="shared" ca="1" si="1"/>
        <v>3</v>
      </c>
      <c r="AA34" s="6">
        <f ca="1">IF(N34="Yes",0,IF(A34="",0,IF(COUNTIFS('04_Triggers'!B:B,A34,'04_Triggers'!D:D,"&gt;="&amp;(TODAY()-365))&gt;=2,20,IF(COUNTIFS('04_Triggers'!B:B,A34,'04_Triggers'!D:D,"&gt;="&amp;(TODAY()-365),'04_Triggers'!G:G,"High")&gt;=1,14,IF(COUNTIFS('04_Triggers'!B:B,A34,'04_Triggers'!D:D,"&gt;="&amp;(TODAY()-365))&gt;=1,7,IF(COUNTIFS('04_Triggers'!B:B,A34,'04_Triggers'!D:D,"&gt;="&amp;(TODAY()-1095),'04_Triggers'!D:D,"&lt;"&amp;(TODAY()-365))&gt;=1,7,0))))))</f>
        <v>0</v>
      </c>
      <c r="AB34" s="6">
        <f>IF(M34="","",IFERROR(VLOOKUP(M34,Scoring_Lookups!$J$5:$K$16,2,FALSE()),0))</f>
        <v>4</v>
      </c>
      <c r="AC34" s="6">
        <f>IF(O34="","",IFERROR(VLOOKUP(O34,Scoring_Lookups!$M$5:$N$8,2,FALSE()),0))</f>
        <v>4</v>
      </c>
      <c r="AD34" s="6">
        <f>IF(L34="","",IFERROR(VLOOKUP(L34,Scoring_Lookups!$P$5:$Q$9,2,FALSE()),0))</f>
        <v>8</v>
      </c>
      <c r="AE34" s="6">
        <f t="shared" si="2"/>
        <v>10</v>
      </c>
      <c r="AF34" s="6">
        <f t="shared" ca="1" si="3"/>
        <v>69</v>
      </c>
      <c r="AG34" s="6" t="str">
        <f t="shared" si="4"/>
        <v>OK</v>
      </c>
      <c r="AH34" s="6" t="s">
        <v>56</v>
      </c>
      <c r="AI34" s="6" t="str">
        <f t="shared" ca="1" si="5"/>
        <v>Priority 2</v>
      </c>
      <c r="AJ34" s="3" t="str">
        <f t="shared" ca="1" si="6"/>
        <v>P1 Digital Banking=10 | P2 200=10 | P3 Czech Republic=12 | P4 Credit Institution Licence=8 | P5 Bootstrapped=3 | P6=0 | P7 Planning to Launch (No Incumbent Yet)=4 | P8 Cloud modern, Not API-first=4 | P9 Scheme Principal=8 | P10=10</v>
      </c>
      <c r="AK34" s="3"/>
      <c r="AL34" s="3" t="s">
        <v>61</v>
      </c>
      <c r="AM34" s="3" t="s">
        <v>56</v>
      </c>
      <c r="AN34" s="3"/>
      <c r="AO34" s="3" t="s">
        <v>209</v>
      </c>
      <c r="AP34" s="3" t="str">
        <f t="shared" si="7"/>
        <v>Watch</v>
      </c>
      <c r="AQ34" s="3" t="s">
        <v>84</v>
      </c>
    </row>
    <row r="35" spans="1:43" ht="99.75" customHeight="1" x14ac:dyDescent="0.2">
      <c r="A35" s="4" t="s">
        <v>210</v>
      </c>
      <c r="B35" s="4" t="s">
        <v>211</v>
      </c>
      <c r="C35" s="4" t="s">
        <v>203</v>
      </c>
      <c r="D35" s="4" t="s">
        <v>134</v>
      </c>
      <c r="E35" s="4" t="s">
        <v>135</v>
      </c>
      <c r="F35" s="4">
        <v>452</v>
      </c>
      <c r="G35" s="4" t="s">
        <v>136</v>
      </c>
      <c r="H35" s="4" t="s">
        <v>68</v>
      </c>
      <c r="I35" s="4" t="s">
        <v>183</v>
      </c>
      <c r="J35" s="4"/>
      <c r="K35" s="4" t="s">
        <v>137</v>
      </c>
      <c r="L35" s="4" t="s">
        <v>138</v>
      </c>
      <c r="M35" s="4" t="s">
        <v>130</v>
      </c>
      <c r="N35" s="4" t="s">
        <v>56</v>
      </c>
      <c r="O35" s="4" t="s">
        <v>70</v>
      </c>
      <c r="P35" s="4">
        <v>300000</v>
      </c>
      <c r="Q35" s="4">
        <v>500000</v>
      </c>
      <c r="R35" s="4" t="s">
        <v>71</v>
      </c>
      <c r="S35" s="4" t="s">
        <v>204</v>
      </c>
      <c r="T35" s="5">
        <v>46216</v>
      </c>
      <c r="U35" s="4" t="s">
        <v>212</v>
      </c>
      <c r="V35" s="6">
        <f>IF(E35="","",IFERROR(VLOOKUP(E35,Scoring_Lookups!$A$5:$B$18,2,FALSE()),0))</f>
        <v>10</v>
      </c>
      <c r="W35" s="6">
        <f t="shared" si="0"/>
        <v>10</v>
      </c>
      <c r="X35" s="6">
        <f>IF(C35="","",IFERROR(VLOOKUP(C35,Scoring_Lookups!$D$5:$E$35,2,FALSE()),0))</f>
        <v>12</v>
      </c>
      <c r="Y35" s="6">
        <f>IF(G35="","",IFERROR(VLOOKUP(G35,Scoring_Lookups!$G$5:$H$16,2,FALSE()),0))</f>
        <v>8</v>
      </c>
      <c r="Z35" s="6">
        <f t="shared" ca="1" si="1"/>
        <v>3</v>
      </c>
      <c r="AA35" s="6">
        <f ca="1">IF(N35="Yes",0,IF(A35="",0,IF(COUNTIFS('04_Triggers'!B:B,A35,'04_Triggers'!D:D,"&gt;="&amp;(TODAY()-365))&gt;=2,20,IF(COUNTIFS('04_Triggers'!B:B,A35,'04_Triggers'!D:D,"&gt;="&amp;(TODAY()-365),'04_Triggers'!G:G,"High")&gt;=1,14,IF(COUNTIFS('04_Triggers'!B:B,A35,'04_Triggers'!D:D,"&gt;="&amp;(TODAY()-365))&gt;=1,7,IF(COUNTIFS('04_Triggers'!B:B,A35,'04_Triggers'!D:D,"&gt;="&amp;(TODAY()-1095),'04_Triggers'!D:D,"&lt;"&amp;(TODAY()-365))&gt;=1,7,0))))))</f>
        <v>7</v>
      </c>
      <c r="AB35" s="6">
        <f>IF(M35="","",IFERROR(VLOOKUP(M35,Scoring_Lookups!$J$5:$K$16,2,FALSE()),0))</f>
        <v>8</v>
      </c>
      <c r="AC35" s="6">
        <f>IF(O35="","",IFERROR(VLOOKUP(O35,Scoring_Lookups!$M$5:$N$8,2,FALSE()),0))</f>
        <v>4</v>
      </c>
      <c r="AD35" s="6">
        <f>IF(L35="","",IFERROR(VLOOKUP(L35,Scoring_Lookups!$P$5:$Q$9,2,FALSE()),0))</f>
        <v>8</v>
      </c>
      <c r="AE35" s="6">
        <f t="shared" si="2"/>
        <v>10</v>
      </c>
      <c r="AF35" s="6">
        <f t="shared" ca="1" si="3"/>
        <v>80</v>
      </c>
      <c r="AG35" s="6" t="str">
        <f t="shared" si="4"/>
        <v>OK</v>
      </c>
      <c r="AH35" s="6" t="s">
        <v>56</v>
      </c>
      <c r="AI35" s="6" t="str">
        <f t="shared" ca="1" si="5"/>
        <v>Priority 1</v>
      </c>
      <c r="AJ35" s="4" t="str">
        <f t="shared" ca="1" si="6"/>
        <v>P1 Digital Banking=10 | P2 452=10 | P3 Czech Republic=12 | P4 Credit Institution Licence=8 | P5 Established Private Flat=3 | P6=7 | P7 In-house Legacy Processor=8 | P8 Cloud modern, Not API-first=4 | P9 Scheme Principal=8 | P10=10</v>
      </c>
      <c r="AK35" s="4"/>
      <c r="AL35" s="4" t="s">
        <v>61</v>
      </c>
      <c r="AM35" s="4" t="s">
        <v>56</v>
      </c>
      <c r="AN35" s="4"/>
      <c r="AO35" s="4" t="s">
        <v>92</v>
      </c>
      <c r="AP35" s="4" t="str">
        <f t="shared" si="7"/>
        <v>OK</v>
      </c>
      <c r="AQ35" s="4" t="s">
        <v>84</v>
      </c>
    </row>
    <row r="36" spans="1:43" ht="99.75" customHeight="1" x14ac:dyDescent="0.2">
      <c r="A36" s="3" t="s">
        <v>213</v>
      </c>
      <c r="B36" s="3" t="s">
        <v>214</v>
      </c>
      <c r="C36" s="3" t="s">
        <v>203</v>
      </c>
      <c r="D36" s="3" t="s">
        <v>48</v>
      </c>
      <c r="E36" s="3" t="s">
        <v>95</v>
      </c>
      <c r="F36" s="3">
        <v>150</v>
      </c>
      <c r="G36" s="3" t="s">
        <v>50</v>
      </c>
      <c r="H36" s="3" t="s">
        <v>96</v>
      </c>
      <c r="I36" s="3" t="s">
        <v>143</v>
      </c>
      <c r="J36" s="7">
        <v>45153</v>
      </c>
      <c r="K36" s="3" t="s">
        <v>53</v>
      </c>
      <c r="L36" s="3" t="s">
        <v>77</v>
      </c>
      <c r="M36" s="3" t="s">
        <v>215</v>
      </c>
      <c r="N36" s="3" t="s">
        <v>56</v>
      </c>
      <c r="O36" s="3" t="s">
        <v>57</v>
      </c>
      <c r="P36" s="3">
        <v>250000</v>
      </c>
      <c r="Q36" s="3">
        <v>500000</v>
      </c>
      <c r="R36" s="3" t="s">
        <v>71</v>
      </c>
      <c r="S36" s="3" t="s">
        <v>204</v>
      </c>
      <c r="T36" s="7">
        <v>46216</v>
      </c>
      <c r="U36" s="3" t="s">
        <v>216</v>
      </c>
      <c r="V36" s="6">
        <f>IF(E36="","",IFERROR(VLOOKUP(E36,Scoring_Lookups!$A$5:$B$18,2,FALSE()),0))</f>
        <v>7</v>
      </c>
      <c r="W36" s="6">
        <f t="shared" si="0"/>
        <v>10</v>
      </c>
      <c r="X36" s="6">
        <f>IF(C36="","",IFERROR(VLOOKUP(C36,Scoring_Lookups!$D$5:$E$35,2,FALSE()),0))</f>
        <v>12</v>
      </c>
      <c r="Y36" s="6">
        <f>IF(G36="","",IFERROR(VLOOKUP(G36,Scoring_Lookups!$G$5:$H$16,2,FALSE()),0))</f>
        <v>6</v>
      </c>
      <c r="Z36" s="6">
        <f t="shared" ca="1" si="1"/>
        <v>8</v>
      </c>
      <c r="AA36" s="6">
        <f ca="1">IF(N36="Yes",0,IF(A36="",0,IF(COUNTIFS('04_Triggers'!B:B,A36,'04_Triggers'!D:D,"&gt;="&amp;(TODAY()-365))&gt;=2,20,IF(COUNTIFS('04_Triggers'!B:B,A36,'04_Triggers'!D:D,"&gt;="&amp;(TODAY()-365),'04_Triggers'!G:G,"High")&gt;=1,14,IF(COUNTIFS('04_Triggers'!B:B,A36,'04_Triggers'!D:D,"&gt;="&amp;(TODAY()-365))&gt;=1,7,IF(COUNTIFS('04_Triggers'!B:B,A36,'04_Triggers'!D:D,"&gt;="&amp;(TODAY()-1095),'04_Triggers'!D:D,"&lt;"&amp;(TODAY()-365))&gt;=1,7,0))))))</f>
        <v>0</v>
      </c>
      <c r="AB36" s="6">
        <f>IF(M36="","",IFERROR(VLOOKUP(M36,Scoring_Lookups!$J$5:$K$16,2,FALSE()),0))</f>
        <v>8</v>
      </c>
      <c r="AC36" s="6">
        <f>IF(O36="","",IFERROR(VLOOKUP(O36,Scoring_Lookups!$M$5:$N$8,2,FALSE()),0))</f>
        <v>6</v>
      </c>
      <c r="AD36" s="6">
        <f>IF(L36="","",IFERROR(VLOOKUP(L36,Scoring_Lookups!$P$5:$Q$9,2,FALSE()),0))</f>
        <v>8</v>
      </c>
      <c r="AE36" s="6">
        <f t="shared" si="2"/>
        <v>10</v>
      </c>
      <c r="AF36" s="6">
        <f t="shared" ca="1" si="3"/>
        <v>75</v>
      </c>
      <c r="AG36" s="6" t="str">
        <f t="shared" si="4"/>
        <v>OK</v>
      </c>
      <c r="AH36" s="6" t="s">
        <v>56</v>
      </c>
      <c r="AI36" s="6" t="str">
        <f t="shared" ca="1" si="5"/>
        <v>Priority 2</v>
      </c>
      <c r="AJ36" s="3" t="str">
        <f t="shared" ca="1" si="6"/>
        <v>P1 Lending (Consumer)=7 | P2 150=10 | P3 Czech Republic=12 | P4 PI Licence=6 | P5 PE-controlled Growth Mandate=8 | P6=0 | P7 Thredd=8 | P8 Cloud-native (AWS/Azure/GCP), API-first, AI signals=6 | P9 Existing BIN Sponsor Relationship=8 | P10=10</v>
      </c>
      <c r="AK36" s="3"/>
      <c r="AL36" s="3" t="s">
        <v>61</v>
      </c>
      <c r="AM36" s="3" t="s">
        <v>56</v>
      </c>
      <c r="AN36" s="3"/>
      <c r="AO36" s="3" t="s">
        <v>92</v>
      </c>
      <c r="AP36" s="3" t="str">
        <f t="shared" si="7"/>
        <v>OK</v>
      </c>
      <c r="AQ36" s="3" t="s">
        <v>84</v>
      </c>
    </row>
    <row r="37" spans="1:43" ht="99.75" customHeight="1" x14ac:dyDescent="0.2">
      <c r="A37" s="4" t="s">
        <v>217</v>
      </c>
      <c r="B37" s="4" t="s">
        <v>218</v>
      </c>
      <c r="C37" s="4" t="s">
        <v>203</v>
      </c>
      <c r="D37" s="4" t="s">
        <v>134</v>
      </c>
      <c r="E37" s="4" t="s">
        <v>135</v>
      </c>
      <c r="F37" s="4">
        <v>900</v>
      </c>
      <c r="G37" s="4" t="s">
        <v>136</v>
      </c>
      <c r="H37" s="4" t="s">
        <v>96</v>
      </c>
      <c r="I37" s="4" t="s">
        <v>97</v>
      </c>
      <c r="J37" s="4"/>
      <c r="K37" s="4" t="s">
        <v>137</v>
      </c>
      <c r="L37" s="4" t="s">
        <v>138</v>
      </c>
      <c r="M37" s="4" t="s">
        <v>130</v>
      </c>
      <c r="N37" s="4" t="s">
        <v>56</v>
      </c>
      <c r="O37" s="4" t="s">
        <v>70</v>
      </c>
      <c r="P37" s="4">
        <v>800000</v>
      </c>
      <c r="Q37" s="4">
        <v>1000000</v>
      </c>
      <c r="R37" s="4" t="s">
        <v>71</v>
      </c>
      <c r="S37" s="4" t="s">
        <v>204</v>
      </c>
      <c r="T37" s="5">
        <v>46216</v>
      </c>
      <c r="U37" s="4" t="s">
        <v>219</v>
      </c>
      <c r="V37" s="6">
        <f>IF(E37="","",IFERROR(VLOOKUP(E37,Scoring_Lookups!$A$5:$B$18,2,FALSE()),0))</f>
        <v>10</v>
      </c>
      <c r="W37" s="6">
        <f t="shared" ref="W37:W68" si="8">IF(F37="","",IF(AND(F37&gt;=50,F37&lt;=1000),10,IF(OR(AND(F37&gt;=20,F37&lt;=49),AND(F37&gt;=1001,F37&lt;=2000)),7,IF(OR(AND(F37&gt;=10,F37&lt;=19),AND(F37&gt;=2001,F37&lt;=5000)),4,0))))</f>
        <v>10</v>
      </c>
      <c r="X37" s="6">
        <f>IF(C37="","",IFERROR(VLOOKUP(C37,Scoring_Lookups!$D$5:$E$35,2,FALSE()),0))</f>
        <v>12</v>
      </c>
      <c r="Y37" s="6">
        <f>IF(G37="","",IFERROR(VLOOKUP(G37,Scoring_Lookups!$G$5:$H$16,2,FALSE()),0))</f>
        <v>8</v>
      </c>
      <c r="Z37" s="6">
        <f t="shared" ref="Z37:Z68" ca="1" si="9">IF(I37="","",IF(OR(I37="Administration/Insolvency",I37="Pending Wind-down",I37="Sanctions Exposure"),0,IF(OR(AND(OR(I37="Series B",I37="Series C",I37="Series D+"),J37&lt;&gt;"",J37&gt;=TODAY()-730),I37="PE-controlled Growth Mandate",I37="Listed with Growth Profile"),8,IF(OR(I37="Series A",I37="Bootstrapped Profitable",I37="PE-controlled Stable",AND(OR(I37="Series B",I37="Series C",I37="Series D+"),J37&lt;&gt;"",J37&lt;TODAY()-730)),6,IF(OR(I37="Seed",I37="Bootstrapped",I37="Listed Stable",I37="Established Private Flat"),3,0)))))</f>
        <v>6</v>
      </c>
      <c r="AA37" s="6">
        <f ca="1">IF(N37="Yes",0,IF(A37="",0,IF(COUNTIFS('04_Triggers'!B:B,A37,'04_Triggers'!D:D,"&gt;="&amp;(TODAY()-365))&gt;=2,20,IF(COUNTIFS('04_Triggers'!B:B,A37,'04_Triggers'!D:D,"&gt;="&amp;(TODAY()-365),'04_Triggers'!G:G,"High")&gt;=1,14,IF(COUNTIFS('04_Triggers'!B:B,A37,'04_Triggers'!D:D,"&gt;="&amp;(TODAY()-365))&gt;=1,7,IF(COUNTIFS('04_Triggers'!B:B,A37,'04_Triggers'!D:D,"&gt;="&amp;(TODAY()-1095),'04_Triggers'!D:D,"&lt;"&amp;(TODAY()-365))&gt;=1,7,0))))))</f>
        <v>0</v>
      </c>
      <c r="AB37" s="6">
        <f>IF(M37="","",IFERROR(VLOOKUP(M37,Scoring_Lookups!$J$5:$K$16,2,FALSE()),0))</f>
        <v>8</v>
      </c>
      <c r="AC37" s="6">
        <f>IF(O37="","",IFERROR(VLOOKUP(O37,Scoring_Lookups!$M$5:$N$8,2,FALSE()),0))</f>
        <v>4</v>
      </c>
      <c r="AD37" s="6">
        <f>IF(L37="","",IFERROR(VLOOKUP(L37,Scoring_Lookups!$P$5:$Q$9,2,FALSE()),0))</f>
        <v>8</v>
      </c>
      <c r="AE37" s="6">
        <f t="shared" ref="AE37:AE68" si="10">IF(AND(P37="",Q37="",R37=""),"",IF(OR(IFERROR(MAX(P37,Q37),0)&gt;=500000,R37="Yes"),10,IF(IFERROR(MAX(P37,Q37),0)&gt;=100000,7,IF(IFERROR(MAX(P37,Q37),0)&gt;=10000,4,0))))</f>
        <v>10</v>
      </c>
      <c r="AF37" s="6">
        <f t="shared" ref="AF37:AF68" ca="1" si="11">IFERROR(N(V37)+N(W37)+N(X37)+N(Y37)+N(Z37)+N(AA37)+N(AB37)+N(AC37)+N(AD37)+N(AE37),0)</f>
        <v>76</v>
      </c>
      <c r="AG37" s="6" t="str">
        <f t="shared" ref="AG37:AG68" si="12">IF(OR(E37="",C37="",G37=""),"Not scored",IF(OR(V37=0,X37=0,Y37=0,N37="Yes"),"DQ Gating","OK"))</f>
        <v>OK</v>
      </c>
      <c r="AH37" s="6" t="s">
        <v>56</v>
      </c>
      <c r="AI37" s="6" t="str">
        <f t="shared" ref="AI37:AI68" ca="1" si="13">IF(AG37="Not scored","",IF(OR(AG37="DQ Gating",AH37="Yes"),"Disqualified",IF(AF37&gt;=80,"Priority 1",IF(AF37&gt;=60,"Priority 2",IF(AF37&gt;=40,"Priority 3","Disqualified")))))</f>
        <v>Priority 2</v>
      </c>
      <c r="AJ37" s="4" t="str">
        <f t="shared" ref="AJ37:AJ68" ca="1" si="14">IF(AG37="Not scored","","P1 "&amp;IF(E37="","?",E37)&amp;"="&amp;V37&amp;" | P2 "&amp;IF(F37="","?",F37)&amp;"="&amp;W37&amp;" | P3 "&amp;IF(C37="","?",C37)&amp;"="&amp;X37&amp;" | P4 "&amp;IF(G37="","?",G37)&amp;"="&amp;Y37&amp;" | P5 "&amp;IF(I37="","?",I37)&amp;"="&amp;Z37&amp;" | P6="&amp;AA37&amp;" | P7 "&amp;IF(M37="","?",M37)&amp;"="&amp;AB37&amp;" | P8 "&amp;IF(O37="","?",O37)&amp;"="&amp;AC37&amp;" | P9 "&amp;IF(L37="","?",L37)&amp;"="&amp;AD37&amp;" | P10="&amp;AE37)</f>
        <v>P1 Digital Banking=10 | P2 900=10 | P3 Czech Republic=12 | P4 Credit Institution Licence=8 | P5 PE-controlled Stable=6 | P6=0 | P7 In-house Legacy Processor=8 | P8 Cloud modern, Not API-first=4 | P9 Scheme Principal=8 | P10=10</v>
      </c>
      <c r="AK37" s="4"/>
      <c r="AL37" s="4" t="s">
        <v>61</v>
      </c>
      <c r="AM37" s="4" t="s">
        <v>56</v>
      </c>
      <c r="AN37" s="4"/>
      <c r="AO37" s="4" t="s">
        <v>92</v>
      </c>
      <c r="AP37" s="4" t="str">
        <f t="shared" ref="AP37:AP68" si="15">IF(AO37="","Not set",IF(OR(AO37="Q1 2027",AO37="Q2 2027",AO37="Q3 2027",AO37="Q4 2027",AO37="Live, Migration Window"),"OK",IF(AO37="Live, Urgent Need","Deferred","Watch")))</f>
        <v>OK</v>
      </c>
      <c r="AQ37" s="4" t="s">
        <v>84</v>
      </c>
    </row>
    <row r="38" spans="1:43" ht="99.75" customHeight="1" x14ac:dyDescent="0.2">
      <c r="A38" s="3" t="s">
        <v>220</v>
      </c>
      <c r="B38" s="3" t="s">
        <v>221</v>
      </c>
      <c r="C38" s="3" t="s">
        <v>203</v>
      </c>
      <c r="D38" s="3" t="s">
        <v>48</v>
      </c>
      <c r="E38" s="3" t="s">
        <v>95</v>
      </c>
      <c r="F38" s="3">
        <v>601</v>
      </c>
      <c r="G38" s="3" t="s">
        <v>67</v>
      </c>
      <c r="H38" s="3" t="s">
        <v>96</v>
      </c>
      <c r="I38" s="3" t="s">
        <v>97</v>
      </c>
      <c r="J38" s="3"/>
      <c r="K38" s="3" t="s">
        <v>53</v>
      </c>
      <c r="L38" s="3" t="s">
        <v>77</v>
      </c>
      <c r="M38" s="3" t="s">
        <v>130</v>
      </c>
      <c r="N38" s="3" t="s">
        <v>56</v>
      </c>
      <c r="O38" s="3" t="s">
        <v>70</v>
      </c>
      <c r="P38" s="3">
        <v>300000</v>
      </c>
      <c r="Q38" s="3">
        <v>400000</v>
      </c>
      <c r="R38" s="3" t="s">
        <v>71</v>
      </c>
      <c r="S38" s="3" t="s">
        <v>204</v>
      </c>
      <c r="T38" s="7">
        <v>46216</v>
      </c>
      <c r="U38" s="3" t="s">
        <v>222</v>
      </c>
      <c r="V38" s="6">
        <f>IF(E38="","",IFERROR(VLOOKUP(E38,Scoring_Lookups!$A$5:$B$18,2,FALSE()),0))</f>
        <v>7</v>
      </c>
      <c r="W38" s="6">
        <f t="shared" si="8"/>
        <v>10</v>
      </c>
      <c r="X38" s="6">
        <f>IF(C38="","",IFERROR(VLOOKUP(C38,Scoring_Lookups!$D$5:$E$35,2,FALSE()),0))</f>
        <v>12</v>
      </c>
      <c r="Y38" s="6">
        <f>IF(G38="","",IFERROR(VLOOKUP(G38,Scoring_Lookups!$G$5:$H$16,2,FALSE()),0))</f>
        <v>6</v>
      </c>
      <c r="Z38" s="6">
        <f t="shared" ca="1" si="9"/>
        <v>6</v>
      </c>
      <c r="AA38" s="6">
        <f ca="1">IF(N38="Yes",0,IF(A38="",0,IF(COUNTIFS('04_Triggers'!B:B,A38,'04_Triggers'!D:D,"&gt;="&amp;(TODAY()-365))&gt;=2,20,IF(COUNTIFS('04_Triggers'!B:B,A38,'04_Triggers'!D:D,"&gt;="&amp;(TODAY()-365),'04_Triggers'!G:G,"High")&gt;=1,14,IF(COUNTIFS('04_Triggers'!B:B,A38,'04_Triggers'!D:D,"&gt;="&amp;(TODAY()-365))&gt;=1,7,IF(COUNTIFS('04_Triggers'!B:B,A38,'04_Triggers'!D:D,"&gt;="&amp;(TODAY()-1095),'04_Triggers'!D:D,"&lt;"&amp;(TODAY()-365))&gt;=1,7,0))))))</f>
        <v>14</v>
      </c>
      <c r="AB38" s="6">
        <f>IF(M38="","",IFERROR(VLOOKUP(M38,Scoring_Lookups!$J$5:$K$16,2,FALSE()),0))</f>
        <v>8</v>
      </c>
      <c r="AC38" s="6">
        <f>IF(O38="","",IFERROR(VLOOKUP(O38,Scoring_Lookups!$M$5:$N$8,2,FALSE()),0))</f>
        <v>4</v>
      </c>
      <c r="AD38" s="6">
        <f>IF(L38="","",IFERROR(VLOOKUP(L38,Scoring_Lookups!$P$5:$Q$9,2,FALSE()),0))</f>
        <v>8</v>
      </c>
      <c r="AE38" s="6">
        <f t="shared" si="10"/>
        <v>10</v>
      </c>
      <c r="AF38" s="6">
        <f t="shared" ca="1" si="11"/>
        <v>85</v>
      </c>
      <c r="AG38" s="6" t="str">
        <f t="shared" si="12"/>
        <v>OK</v>
      </c>
      <c r="AH38" s="6" t="s">
        <v>56</v>
      </c>
      <c r="AI38" s="6" t="str">
        <f t="shared" ca="1" si="13"/>
        <v>Priority 1</v>
      </c>
      <c r="AJ38" s="3" t="str">
        <f t="shared" ca="1" si="14"/>
        <v>P1 Lending (Consumer)=7 | P2 601=10 | P3 Czech Republic=12 | P4 BIN Sponsor Agreement In Place=6 | P5 PE-controlled Stable=6 | P6=14 | P7 In-house Legacy Processor=8 | P8 Cloud modern, Not API-first=4 | P9 Existing BIN Sponsor Relationship=8 | P10=10</v>
      </c>
      <c r="AK38" s="3"/>
      <c r="AL38" s="3" t="s">
        <v>61</v>
      </c>
      <c r="AM38" s="3" t="s">
        <v>56</v>
      </c>
      <c r="AN38" s="3"/>
      <c r="AO38" s="3" t="s">
        <v>92</v>
      </c>
      <c r="AP38" s="3" t="str">
        <f t="shared" si="15"/>
        <v>OK</v>
      </c>
      <c r="AQ38" s="3" t="s">
        <v>84</v>
      </c>
    </row>
    <row r="39" spans="1:43" ht="99.75" customHeight="1" x14ac:dyDescent="0.2">
      <c r="A39" s="4" t="s">
        <v>223</v>
      </c>
      <c r="B39" s="4" t="s">
        <v>224</v>
      </c>
      <c r="C39" s="4" t="s">
        <v>203</v>
      </c>
      <c r="D39" s="4" t="s">
        <v>48</v>
      </c>
      <c r="E39" s="4" t="s">
        <v>95</v>
      </c>
      <c r="F39" s="4">
        <v>159</v>
      </c>
      <c r="G39" s="4" t="s">
        <v>67</v>
      </c>
      <c r="H39" s="4" t="s">
        <v>96</v>
      </c>
      <c r="I39" s="4" t="s">
        <v>97</v>
      </c>
      <c r="J39" s="4"/>
      <c r="K39" s="4" t="s">
        <v>53</v>
      </c>
      <c r="L39" s="4" t="s">
        <v>77</v>
      </c>
      <c r="M39" s="4" t="s">
        <v>130</v>
      </c>
      <c r="N39" s="4" t="s">
        <v>56</v>
      </c>
      <c r="O39" s="4" t="s">
        <v>70</v>
      </c>
      <c r="P39" s="4">
        <v>100000</v>
      </c>
      <c r="Q39" s="4">
        <v>150000</v>
      </c>
      <c r="R39" s="4" t="s">
        <v>71</v>
      </c>
      <c r="S39" s="4" t="s">
        <v>204</v>
      </c>
      <c r="T39" s="5">
        <v>46216</v>
      </c>
      <c r="U39" s="4" t="s">
        <v>225</v>
      </c>
      <c r="V39" s="6">
        <f>IF(E39="","",IFERROR(VLOOKUP(E39,Scoring_Lookups!$A$5:$B$18,2,FALSE()),0))</f>
        <v>7</v>
      </c>
      <c r="W39" s="6">
        <f t="shared" si="8"/>
        <v>10</v>
      </c>
      <c r="X39" s="6">
        <f>IF(C39="","",IFERROR(VLOOKUP(C39,Scoring_Lookups!$D$5:$E$35,2,FALSE()),0))</f>
        <v>12</v>
      </c>
      <c r="Y39" s="6">
        <f>IF(G39="","",IFERROR(VLOOKUP(G39,Scoring_Lookups!$G$5:$H$16,2,FALSE()),0))</f>
        <v>6</v>
      </c>
      <c r="Z39" s="6">
        <f t="shared" ca="1" si="9"/>
        <v>6</v>
      </c>
      <c r="AA39" s="6">
        <f ca="1">IF(N39="Yes",0,IF(A39="",0,IF(COUNTIFS('04_Triggers'!B:B,A39,'04_Triggers'!D:D,"&gt;="&amp;(TODAY()-365))&gt;=2,20,IF(COUNTIFS('04_Triggers'!B:B,A39,'04_Triggers'!D:D,"&gt;="&amp;(TODAY()-365),'04_Triggers'!G:G,"High")&gt;=1,14,IF(COUNTIFS('04_Triggers'!B:B,A39,'04_Triggers'!D:D,"&gt;="&amp;(TODAY()-365))&gt;=1,7,IF(COUNTIFS('04_Triggers'!B:B,A39,'04_Triggers'!D:D,"&gt;="&amp;(TODAY()-1095),'04_Triggers'!D:D,"&lt;"&amp;(TODAY()-365))&gt;=1,7,0))))))</f>
        <v>7</v>
      </c>
      <c r="AB39" s="6">
        <f>IF(M39="","",IFERROR(VLOOKUP(M39,Scoring_Lookups!$J$5:$K$16,2,FALSE()),0))</f>
        <v>8</v>
      </c>
      <c r="AC39" s="6">
        <f>IF(O39="","",IFERROR(VLOOKUP(O39,Scoring_Lookups!$M$5:$N$8,2,FALSE()),0))</f>
        <v>4</v>
      </c>
      <c r="AD39" s="6">
        <f>IF(L39="","",IFERROR(VLOOKUP(L39,Scoring_Lookups!$P$5:$Q$9,2,FALSE()),0))</f>
        <v>8</v>
      </c>
      <c r="AE39" s="6">
        <f t="shared" si="10"/>
        <v>10</v>
      </c>
      <c r="AF39" s="6">
        <f t="shared" ca="1" si="11"/>
        <v>78</v>
      </c>
      <c r="AG39" s="6" t="str">
        <f t="shared" si="12"/>
        <v>OK</v>
      </c>
      <c r="AH39" s="6" t="s">
        <v>56</v>
      </c>
      <c r="AI39" s="6" t="str">
        <f t="shared" ca="1" si="13"/>
        <v>Priority 2</v>
      </c>
      <c r="AJ39" s="4" t="str">
        <f t="shared" ca="1" si="14"/>
        <v>P1 Lending (Consumer)=7 | P2 159=10 | P3 Czech Republic=12 | P4 BIN Sponsor Agreement In Place=6 | P5 PE-controlled Stable=6 | P6=7 | P7 In-house Legacy Processor=8 | P8 Cloud modern, Not API-first=4 | P9 Existing BIN Sponsor Relationship=8 | P10=10</v>
      </c>
      <c r="AK39" s="4"/>
      <c r="AL39" s="4" t="s">
        <v>61</v>
      </c>
      <c r="AM39" s="4" t="s">
        <v>56</v>
      </c>
      <c r="AN39" s="4"/>
      <c r="AO39" s="4" t="s">
        <v>92</v>
      </c>
      <c r="AP39" s="4" t="str">
        <f t="shared" si="15"/>
        <v>OK</v>
      </c>
      <c r="AQ39" s="4" t="s">
        <v>84</v>
      </c>
    </row>
    <row r="40" spans="1:43" ht="99.75" customHeight="1" x14ac:dyDescent="0.2">
      <c r="A40" s="3" t="s">
        <v>226</v>
      </c>
      <c r="B40" s="3" t="s">
        <v>227</v>
      </c>
      <c r="C40" s="3" t="s">
        <v>203</v>
      </c>
      <c r="D40" s="3" t="s">
        <v>48</v>
      </c>
      <c r="E40" s="3" t="s">
        <v>49</v>
      </c>
      <c r="F40" s="3">
        <v>55</v>
      </c>
      <c r="G40" s="3" t="s">
        <v>50</v>
      </c>
      <c r="H40" s="3" t="s">
        <v>68</v>
      </c>
      <c r="I40" s="3" t="s">
        <v>194</v>
      </c>
      <c r="J40" s="3"/>
      <c r="K40" s="3" t="s">
        <v>184</v>
      </c>
      <c r="L40" s="3" t="s">
        <v>114</v>
      </c>
      <c r="M40" s="3" t="s">
        <v>186</v>
      </c>
      <c r="N40" s="3" t="s">
        <v>56</v>
      </c>
      <c r="O40" s="3" t="s">
        <v>70</v>
      </c>
      <c r="P40" s="3">
        <v>0</v>
      </c>
      <c r="Q40" s="3">
        <v>0</v>
      </c>
      <c r="R40" s="3" t="s">
        <v>56</v>
      </c>
      <c r="S40" s="3" t="s">
        <v>204</v>
      </c>
      <c r="T40" s="7">
        <v>46216</v>
      </c>
      <c r="U40" s="3" t="s">
        <v>228</v>
      </c>
      <c r="V40" s="6">
        <f>IF(E40="","",IFERROR(VLOOKUP(E40,Scoring_Lookups!$A$5:$B$18,2,FALSE()),0))</f>
        <v>4</v>
      </c>
      <c r="W40" s="6">
        <f t="shared" si="8"/>
        <v>10</v>
      </c>
      <c r="X40" s="6">
        <f>IF(C40="","",IFERROR(VLOOKUP(C40,Scoring_Lookups!$D$5:$E$35,2,FALSE()),0))</f>
        <v>12</v>
      </c>
      <c r="Y40" s="6">
        <f>IF(G40="","",IFERROR(VLOOKUP(G40,Scoring_Lookups!$G$5:$H$16,2,FALSE()),0))</f>
        <v>6</v>
      </c>
      <c r="Z40" s="6">
        <f t="shared" ca="1" si="9"/>
        <v>3</v>
      </c>
      <c r="AA40" s="6">
        <f ca="1">IF(N40="Yes",0,IF(A40="",0,IF(COUNTIFS('04_Triggers'!B:B,A40,'04_Triggers'!D:D,"&gt;="&amp;(TODAY()-365))&gt;=2,20,IF(COUNTIFS('04_Triggers'!B:B,A40,'04_Triggers'!D:D,"&gt;="&amp;(TODAY()-365),'04_Triggers'!G:G,"High")&gt;=1,14,IF(COUNTIFS('04_Triggers'!B:B,A40,'04_Triggers'!D:D,"&gt;="&amp;(TODAY()-365))&gt;=1,7,IF(COUNTIFS('04_Triggers'!B:B,A40,'04_Triggers'!D:D,"&gt;="&amp;(TODAY()-1095),'04_Triggers'!D:D,"&lt;"&amp;(TODAY()-365))&gt;=1,7,0))))))</f>
        <v>0</v>
      </c>
      <c r="AB40" s="6">
        <f>IF(M40="","",IFERROR(VLOOKUP(M40,Scoring_Lookups!$J$5:$K$16,2,FALSE()),0))</f>
        <v>0</v>
      </c>
      <c r="AC40" s="6">
        <f>IF(O40="","",IFERROR(VLOOKUP(O40,Scoring_Lookups!$M$5:$N$8,2,FALSE()),0))</f>
        <v>4</v>
      </c>
      <c r="AD40" s="6">
        <f>IF(L40="","",IFERROR(VLOOKUP(L40,Scoring_Lookups!$P$5:$Q$9,2,FALSE()),0))</f>
        <v>6</v>
      </c>
      <c r="AE40" s="6">
        <f t="shared" si="10"/>
        <v>0</v>
      </c>
      <c r="AF40" s="6">
        <f t="shared" ca="1" si="11"/>
        <v>45</v>
      </c>
      <c r="AG40" s="6" t="str">
        <f t="shared" si="12"/>
        <v>OK</v>
      </c>
      <c r="AH40" s="6" t="s">
        <v>56</v>
      </c>
      <c r="AI40" s="6" t="str">
        <f t="shared" ca="1" si="13"/>
        <v>Priority 3</v>
      </c>
      <c r="AJ40" s="3" t="str">
        <f t="shared" ca="1" si="14"/>
        <v>P1 Payments=4 | P2 55=10 | P3 Czech Republic=12 | P4 PI Licence=6 | P5 Bootstrapped=3 | P6=0 | P7 No Card Program, No Plan=0 | P8 Cloud modern, Not API-first=4 | P9 Scheme Participation Visible=6 | P10=0</v>
      </c>
      <c r="AK40" s="3"/>
      <c r="AL40" s="3" t="s">
        <v>61</v>
      </c>
      <c r="AM40" s="3" t="s">
        <v>56</v>
      </c>
      <c r="AN40" s="3"/>
      <c r="AO40" s="3" t="s">
        <v>188</v>
      </c>
      <c r="AP40" s="3" t="str">
        <f t="shared" si="15"/>
        <v>Watch</v>
      </c>
      <c r="AQ40" s="3" t="s">
        <v>84</v>
      </c>
    </row>
    <row r="41" spans="1:43" ht="99.75" customHeight="1" x14ac:dyDescent="0.2">
      <c r="A41" s="4" t="s">
        <v>229</v>
      </c>
      <c r="B41" s="4" t="s">
        <v>230</v>
      </c>
      <c r="C41" s="4" t="s">
        <v>203</v>
      </c>
      <c r="D41" s="4" t="s">
        <v>48</v>
      </c>
      <c r="E41" s="4" t="s">
        <v>128</v>
      </c>
      <c r="F41" s="4">
        <v>60</v>
      </c>
      <c r="G41" s="4" t="s">
        <v>50</v>
      </c>
      <c r="H41" s="4" t="s">
        <v>68</v>
      </c>
      <c r="I41" s="4" t="s">
        <v>69</v>
      </c>
      <c r="J41" s="4"/>
      <c r="K41" s="4" t="s">
        <v>53</v>
      </c>
      <c r="L41" s="4" t="s">
        <v>54</v>
      </c>
      <c r="M41" s="4" t="s">
        <v>55</v>
      </c>
      <c r="N41" s="4" t="s">
        <v>56</v>
      </c>
      <c r="O41" s="4" t="s">
        <v>57</v>
      </c>
      <c r="P41" s="4">
        <v>0</v>
      </c>
      <c r="Q41" s="4">
        <v>50000</v>
      </c>
      <c r="R41" s="4" t="s">
        <v>58</v>
      </c>
      <c r="S41" s="4" t="s">
        <v>204</v>
      </c>
      <c r="T41" s="5">
        <v>46216</v>
      </c>
      <c r="U41" s="4" t="s">
        <v>231</v>
      </c>
      <c r="V41" s="6">
        <f>IF(E41="","",IFERROR(VLOOKUP(E41,Scoring_Lookups!$A$5:$B$18,2,FALSE()),0))</f>
        <v>4</v>
      </c>
      <c r="W41" s="6">
        <f t="shared" si="8"/>
        <v>10</v>
      </c>
      <c r="X41" s="6">
        <f>IF(C41="","",IFERROR(VLOOKUP(C41,Scoring_Lookups!$D$5:$E$35,2,FALSE()),0))</f>
        <v>12</v>
      </c>
      <c r="Y41" s="6">
        <f>IF(G41="","",IFERROR(VLOOKUP(G41,Scoring_Lookups!$G$5:$H$16,2,FALSE()),0))</f>
        <v>6</v>
      </c>
      <c r="Z41" s="6">
        <f t="shared" ca="1" si="9"/>
        <v>6</v>
      </c>
      <c r="AA41" s="6">
        <f ca="1">IF(N41="Yes",0,IF(A41="",0,IF(COUNTIFS('04_Triggers'!B:B,A41,'04_Triggers'!D:D,"&gt;="&amp;(TODAY()-365))&gt;=2,20,IF(COUNTIFS('04_Triggers'!B:B,A41,'04_Triggers'!D:D,"&gt;="&amp;(TODAY()-365),'04_Triggers'!G:G,"High")&gt;=1,14,IF(COUNTIFS('04_Triggers'!B:B,A41,'04_Triggers'!D:D,"&gt;="&amp;(TODAY()-365))&gt;=1,7,IF(COUNTIFS('04_Triggers'!B:B,A41,'04_Triggers'!D:D,"&gt;="&amp;(TODAY()-1095),'04_Triggers'!D:D,"&lt;"&amp;(TODAY()-365))&gt;=1,7,0))))))</f>
        <v>0</v>
      </c>
      <c r="AB41" s="6">
        <f>IF(M41="","",IFERROR(VLOOKUP(M41,Scoring_Lookups!$J$5:$K$16,2,FALSE()),0))</f>
        <v>4</v>
      </c>
      <c r="AC41" s="6">
        <f>IF(O41="","",IFERROR(VLOOKUP(O41,Scoring_Lookups!$M$5:$N$8,2,FALSE()),0))</f>
        <v>6</v>
      </c>
      <c r="AD41" s="6">
        <f>IF(L41="","",IFERROR(VLOOKUP(L41,Scoring_Lookups!$P$5:$Q$9,2,FALSE()),0))</f>
        <v>3</v>
      </c>
      <c r="AE41" s="6">
        <f t="shared" si="10"/>
        <v>4</v>
      </c>
      <c r="AF41" s="6">
        <f t="shared" ca="1" si="11"/>
        <v>55</v>
      </c>
      <c r="AG41" s="6" t="str">
        <f t="shared" si="12"/>
        <v>OK</v>
      </c>
      <c r="AH41" s="6" t="s">
        <v>56</v>
      </c>
      <c r="AI41" s="6" t="str">
        <f t="shared" ca="1" si="13"/>
        <v>Priority 3</v>
      </c>
      <c r="AJ41" s="4" t="str">
        <f t="shared" ca="1" si="14"/>
        <v>P1 Investment Management=4 | P2 60=10 | P3 Czech Republic=12 | P4 PI Licence=6 | P5 Bootstrapped Profitable=6 | P6=0 | P7 Planning to Launch (No Incumbent Yet)=4 | P8 Cloud-native (AWS/Azure/GCP), API-first, AI signals=6 | P9 No Sponsor, Licensing Suggests Imminent=3 | P10=4</v>
      </c>
      <c r="AK41" s="4"/>
      <c r="AL41" s="4" t="s">
        <v>61</v>
      </c>
      <c r="AM41" s="4" t="s">
        <v>56</v>
      </c>
      <c r="AN41" s="4"/>
      <c r="AO41" s="4" t="s">
        <v>73</v>
      </c>
      <c r="AP41" s="4" t="str">
        <f t="shared" si="15"/>
        <v>OK</v>
      </c>
      <c r="AQ41" s="4" t="s">
        <v>84</v>
      </c>
    </row>
    <row r="42" spans="1:43" ht="99.75" customHeight="1" x14ac:dyDescent="0.2">
      <c r="A42" s="3" t="s">
        <v>232</v>
      </c>
      <c r="B42" s="3" t="s">
        <v>233</v>
      </c>
      <c r="C42" s="3" t="s">
        <v>203</v>
      </c>
      <c r="D42" s="3" t="s">
        <v>48</v>
      </c>
      <c r="E42" s="3" t="s">
        <v>166</v>
      </c>
      <c r="F42" s="3">
        <v>30</v>
      </c>
      <c r="G42" s="3" t="s">
        <v>234</v>
      </c>
      <c r="H42" s="3" t="s">
        <v>68</v>
      </c>
      <c r="I42" s="3" t="s">
        <v>194</v>
      </c>
      <c r="J42" s="3"/>
      <c r="K42" s="3" t="s">
        <v>184</v>
      </c>
      <c r="L42" s="3" t="s">
        <v>54</v>
      </c>
      <c r="M42" s="3" t="s">
        <v>186</v>
      </c>
      <c r="N42" s="3" t="s">
        <v>56</v>
      </c>
      <c r="O42" s="3" t="s">
        <v>57</v>
      </c>
      <c r="P42" s="3">
        <v>0</v>
      </c>
      <c r="Q42" s="3">
        <v>0</v>
      </c>
      <c r="R42" s="3" t="s">
        <v>56</v>
      </c>
      <c r="S42" s="3" t="s">
        <v>204</v>
      </c>
      <c r="T42" s="7">
        <v>46216</v>
      </c>
      <c r="U42" s="3" t="s">
        <v>235</v>
      </c>
      <c r="V42" s="6">
        <f>IF(E42="","",IFERROR(VLOOKUP(E42,Scoring_Lookups!$A$5:$B$18,2,FALSE()),0))</f>
        <v>4</v>
      </c>
      <c r="W42" s="6">
        <f t="shared" si="8"/>
        <v>7</v>
      </c>
      <c r="X42" s="6">
        <f>IF(C42="","",IFERROR(VLOOKUP(C42,Scoring_Lookups!$D$5:$E$35,2,FALSE()),0))</f>
        <v>12</v>
      </c>
      <c r="Y42" s="6">
        <f>IF(G42="","",IFERROR(VLOOKUP(G42,Scoring_Lookups!$G$5:$H$16,2,FALSE()),0))</f>
        <v>3</v>
      </c>
      <c r="Z42" s="6">
        <f t="shared" ca="1" si="9"/>
        <v>3</v>
      </c>
      <c r="AA42" s="6">
        <f ca="1">IF(N42="Yes",0,IF(A42="",0,IF(COUNTIFS('04_Triggers'!B:B,A42,'04_Triggers'!D:D,"&gt;="&amp;(TODAY()-365))&gt;=2,20,IF(COUNTIFS('04_Triggers'!B:B,A42,'04_Triggers'!D:D,"&gt;="&amp;(TODAY()-365),'04_Triggers'!G:G,"High")&gt;=1,14,IF(COUNTIFS('04_Triggers'!B:B,A42,'04_Triggers'!D:D,"&gt;="&amp;(TODAY()-365))&gt;=1,7,IF(COUNTIFS('04_Triggers'!B:B,A42,'04_Triggers'!D:D,"&gt;="&amp;(TODAY()-1095),'04_Triggers'!D:D,"&lt;"&amp;(TODAY()-365))&gt;=1,7,0))))))</f>
        <v>14</v>
      </c>
      <c r="AB42" s="6">
        <f>IF(M42="","",IFERROR(VLOOKUP(M42,Scoring_Lookups!$J$5:$K$16,2,FALSE()),0))</f>
        <v>0</v>
      </c>
      <c r="AC42" s="6">
        <f>IF(O42="","",IFERROR(VLOOKUP(O42,Scoring_Lookups!$M$5:$N$8,2,FALSE()),0))</f>
        <v>6</v>
      </c>
      <c r="AD42" s="6">
        <f>IF(L42="","",IFERROR(VLOOKUP(L42,Scoring_Lookups!$P$5:$Q$9,2,FALSE()),0))</f>
        <v>3</v>
      </c>
      <c r="AE42" s="6">
        <f t="shared" si="10"/>
        <v>0</v>
      </c>
      <c r="AF42" s="6">
        <f t="shared" ca="1" si="11"/>
        <v>52</v>
      </c>
      <c r="AG42" s="6" t="str">
        <f t="shared" si="12"/>
        <v>OK</v>
      </c>
      <c r="AH42" s="6" t="s">
        <v>56</v>
      </c>
      <c r="AI42" s="6" t="str">
        <f t="shared" ca="1" si="13"/>
        <v>Priority 3</v>
      </c>
      <c r="AJ42" s="3" t="str">
        <f t="shared" ca="1" si="14"/>
        <v>P1 Crypto=4 | P2 30=7 | P3 Czech Republic=12 | P4 Secondary Regime=3 | P5 Bootstrapped=3 | P6=14 | P7 No Card Program, No Plan=0 | P8 Cloud-native (AWS/Azure/GCP), API-first, AI signals=6 | P9 No Sponsor, Licensing Suggests Imminent=3 | P10=0</v>
      </c>
      <c r="AK42" s="3"/>
      <c r="AL42" s="3" t="s">
        <v>61</v>
      </c>
      <c r="AM42" s="3" t="s">
        <v>56</v>
      </c>
      <c r="AN42" s="3"/>
      <c r="AO42" s="3" t="s">
        <v>188</v>
      </c>
      <c r="AP42" s="3" t="str">
        <f t="shared" si="15"/>
        <v>Watch</v>
      </c>
      <c r="AQ42" s="3" t="s">
        <v>84</v>
      </c>
    </row>
    <row r="43" spans="1:43" ht="99.75" customHeight="1" x14ac:dyDescent="0.2">
      <c r="A43" s="4" t="s">
        <v>236</v>
      </c>
      <c r="B43" s="4" t="s">
        <v>237</v>
      </c>
      <c r="C43" s="4" t="s">
        <v>203</v>
      </c>
      <c r="D43" s="4" t="s">
        <v>48</v>
      </c>
      <c r="E43" s="4" t="s">
        <v>166</v>
      </c>
      <c r="F43" s="4">
        <v>20</v>
      </c>
      <c r="G43" s="4" t="s">
        <v>234</v>
      </c>
      <c r="H43" s="4" t="s">
        <v>68</v>
      </c>
      <c r="I43" s="4" t="s">
        <v>194</v>
      </c>
      <c r="J43" s="4"/>
      <c r="K43" s="4" t="s">
        <v>184</v>
      </c>
      <c r="L43" s="4" t="s">
        <v>54</v>
      </c>
      <c r="M43" s="4" t="s">
        <v>186</v>
      </c>
      <c r="N43" s="4" t="s">
        <v>56</v>
      </c>
      <c r="O43" s="4" t="s">
        <v>70</v>
      </c>
      <c r="P43" s="4">
        <v>0</v>
      </c>
      <c r="Q43" s="4">
        <v>0</v>
      </c>
      <c r="R43" s="4" t="s">
        <v>56</v>
      </c>
      <c r="S43" s="4" t="s">
        <v>204</v>
      </c>
      <c r="T43" s="5">
        <v>46216</v>
      </c>
      <c r="U43" s="4" t="s">
        <v>238</v>
      </c>
      <c r="V43" s="6">
        <f>IF(E43="","",IFERROR(VLOOKUP(E43,Scoring_Lookups!$A$5:$B$18,2,FALSE()),0))</f>
        <v>4</v>
      </c>
      <c r="W43" s="6">
        <f t="shared" si="8"/>
        <v>7</v>
      </c>
      <c r="X43" s="6">
        <f>IF(C43="","",IFERROR(VLOOKUP(C43,Scoring_Lookups!$D$5:$E$35,2,FALSE()),0))</f>
        <v>12</v>
      </c>
      <c r="Y43" s="6">
        <f>IF(G43="","",IFERROR(VLOOKUP(G43,Scoring_Lookups!$G$5:$H$16,2,FALSE()),0))</f>
        <v>3</v>
      </c>
      <c r="Z43" s="6">
        <f t="shared" ca="1" si="9"/>
        <v>3</v>
      </c>
      <c r="AA43" s="6">
        <f ca="1">IF(N43="Yes",0,IF(A43="",0,IF(COUNTIFS('04_Triggers'!B:B,A43,'04_Triggers'!D:D,"&gt;="&amp;(TODAY()-365))&gt;=2,20,IF(COUNTIFS('04_Triggers'!B:B,A43,'04_Triggers'!D:D,"&gt;="&amp;(TODAY()-365),'04_Triggers'!G:G,"High")&gt;=1,14,IF(COUNTIFS('04_Triggers'!B:B,A43,'04_Triggers'!D:D,"&gt;="&amp;(TODAY()-365))&gt;=1,7,IF(COUNTIFS('04_Triggers'!B:B,A43,'04_Triggers'!D:D,"&gt;="&amp;(TODAY()-1095),'04_Triggers'!D:D,"&lt;"&amp;(TODAY()-365))&gt;=1,7,0))))))</f>
        <v>14</v>
      </c>
      <c r="AB43" s="6">
        <f>IF(M43="","",IFERROR(VLOOKUP(M43,Scoring_Lookups!$J$5:$K$16,2,FALSE()),0))</f>
        <v>0</v>
      </c>
      <c r="AC43" s="6">
        <f>IF(O43="","",IFERROR(VLOOKUP(O43,Scoring_Lookups!$M$5:$N$8,2,FALSE()),0))</f>
        <v>4</v>
      </c>
      <c r="AD43" s="6">
        <f>IF(L43="","",IFERROR(VLOOKUP(L43,Scoring_Lookups!$P$5:$Q$9,2,FALSE()),0))</f>
        <v>3</v>
      </c>
      <c r="AE43" s="6">
        <f t="shared" si="10"/>
        <v>0</v>
      </c>
      <c r="AF43" s="6">
        <f t="shared" ca="1" si="11"/>
        <v>50</v>
      </c>
      <c r="AG43" s="6" t="str">
        <f t="shared" si="12"/>
        <v>OK</v>
      </c>
      <c r="AH43" s="6" t="s">
        <v>56</v>
      </c>
      <c r="AI43" s="6" t="str">
        <f t="shared" ca="1" si="13"/>
        <v>Priority 3</v>
      </c>
      <c r="AJ43" s="4" t="str">
        <f t="shared" ca="1" si="14"/>
        <v>P1 Crypto=4 | P2 20=7 | P3 Czech Republic=12 | P4 Secondary Regime=3 | P5 Bootstrapped=3 | P6=14 | P7 No Card Program, No Plan=0 | P8 Cloud modern, Not API-first=4 | P9 No Sponsor, Licensing Suggests Imminent=3 | P10=0</v>
      </c>
      <c r="AK43" s="4"/>
      <c r="AL43" s="4" t="s">
        <v>61</v>
      </c>
      <c r="AM43" s="4" t="s">
        <v>56</v>
      </c>
      <c r="AN43" s="4"/>
      <c r="AO43" s="4" t="s">
        <v>188</v>
      </c>
      <c r="AP43" s="4" t="str">
        <f t="shared" si="15"/>
        <v>Watch</v>
      </c>
      <c r="AQ43" s="4" t="s">
        <v>84</v>
      </c>
    </row>
    <row r="44" spans="1:43" ht="99.75" customHeight="1" x14ac:dyDescent="0.2">
      <c r="A44" s="3" t="s">
        <v>239</v>
      </c>
      <c r="B44" s="3" t="s">
        <v>240</v>
      </c>
      <c r="C44" s="3" t="s">
        <v>203</v>
      </c>
      <c r="D44" s="3" t="s">
        <v>48</v>
      </c>
      <c r="E44" s="3" t="s">
        <v>166</v>
      </c>
      <c r="F44" s="3">
        <v>15</v>
      </c>
      <c r="G44" s="3" t="s">
        <v>234</v>
      </c>
      <c r="H44" s="3" t="s">
        <v>68</v>
      </c>
      <c r="I44" s="3" t="s">
        <v>194</v>
      </c>
      <c r="J44" s="3"/>
      <c r="K44" s="3" t="s">
        <v>184</v>
      </c>
      <c r="L44" s="3" t="s">
        <v>54</v>
      </c>
      <c r="M44" s="3" t="s">
        <v>186</v>
      </c>
      <c r="N44" s="3" t="s">
        <v>56</v>
      </c>
      <c r="O44" s="3" t="s">
        <v>70</v>
      </c>
      <c r="P44" s="3">
        <v>0</v>
      </c>
      <c r="Q44" s="3">
        <v>0</v>
      </c>
      <c r="R44" s="3" t="s">
        <v>56</v>
      </c>
      <c r="S44" s="3" t="s">
        <v>204</v>
      </c>
      <c r="T44" s="7">
        <v>46216</v>
      </c>
      <c r="U44" s="3" t="s">
        <v>241</v>
      </c>
      <c r="V44" s="6">
        <f>IF(E44="","",IFERROR(VLOOKUP(E44,Scoring_Lookups!$A$5:$B$18,2,FALSE()),0))</f>
        <v>4</v>
      </c>
      <c r="W44" s="6">
        <f t="shared" si="8"/>
        <v>4</v>
      </c>
      <c r="X44" s="6">
        <f>IF(C44="","",IFERROR(VLOOKUP(C44,Scoring_Lookups!$D$5:$E$35,2,FALSE()),0))</f>
        <v>12</v>
      </c>
      <c r="Y44" s="6">
        <f>IF(G44="","",IFERROR(VLOOKUP(G44,Scoring_Lookups!$G$5:$H$16,2,FALSE()),0))</f>
        <v>3</v>
      </c>
      <c r="Z44" s="6">
        <f t="shared" ca="1" si="9"/>
        <v>3</v>
      </c>
      <c r="AA44" s="6">
        <f ca="1">IF(N44="Yes",0,IF(A44="",0,IF(COUNTIFS('04_Triggers'!B:B,A44,'04_Triggers'!D:D,"&gt;="&amp;(TODAY()-365))&gt;=2,20,IF(COUNTIFS('04_Triggers'!B:B,A44,'04_Triggers'!D:D,"&gt;="&amp;(TODAY()-365),'04_Triggers'!G:G,"High")&gt;=1,14,IF(COUNTIFS('04_Triggers'!B:B,A44,'04_Triggers'!D:D,"&gt;="&amp;(TODAY()-365))&gt;=1,7,IF(COUNTIFS('04_Triggers'!B:B,A44,'04_Triggers'!D:D,"&gt;="&amp;(TODAY()-1095),'04_Triggers'!D:D,"&lt;"&amp;(TODAY()-365))&gt;=1,7,0))))))</f>
        <v>0</v>
      </c>
      <c r="AB44" s="6">
        <f>IF(M44="","",IFERROR(VLOOKUP(M44,Scoring_Lookups!$J$5:$K$16,2,FALSE()),0))</f>
        <v>0</v>
      </c>
      <c r="AC44" s="6">
        <f>IF(O44="","",IFERROR(VLOOKUP(O44,Scoring_Lookups!$M$5:$N$8,2,FALSE()),0))</f>
        <v>4</v>
      </c>
      <c r="AD44" s="6">
        <f>IF(L44="","",IFERROR(VLOOKUP(L44,Scoring_Lookups!$P$5:$Q$9,2,FALSE()),0))</f>
        <v>3</v>
      </c>
      <c r="AE44" s="6">
        <f t="shared" si="10"/>
        <v>0</v>
      </c>
      <c r="AF44" s="6">
        <f t="shared" ca="1" si="11"/>
        <v>33</v>
      </c>
      <c r="AG44" s="6" t="str">
        <f t="shared" si="12"/>
        <v>OK</v>
      </c>
      <c r="AH44" s="6" t="s">
        <v>56</v>
      </c>
      <c r="AI44" s="6" t="str">
        <f t="shared" ca="1" si="13"/>
        <v>Disqualified</v>
      </c>
      <c r="AJ44" s="3" t="str">
        <f t="shared" ca="1" si="14"/>
        <v>P1 Crypto=4 | P2 15=4 | P3 Czech Republic=12 | P4 Secondary Regime=3 | P5 Bootstrapped=3 | P6=0 | P7 No Card Program, No Plan=0 | P8 Cloud modern, Not API-first=4 | P9 No Sponsor, Licensing Suggests Imminent=3 | P10=0</v>
      </c>
      <c r="AK44" s="3"/>
      <c r="AL44" s="3" t="s">
        <v>61</v>
      </c>
      <c r="AM44" s="3" t="s">
        <v>56</v>
      </c>
      <c r="AN44" s="3"/>
      <c r="AO44" s="3" t="s">
        <v>188</v>
      </c>
      <c r="AP44" s="3" t="str">
        <f t="shared" si="15"/>
        <v>Watch</v>
      </c>
      <c r="AQ44" s="3" t="s">
        <v>84</v>
      </c>
    </row>
    <row r="45" spans="1:43" ht="99.75" customHeight="1" x14ac:dyDescent="0.2">
      <c r="A45" s="4" t="s">
        <v>242</v>
      </c>
      <c r="B45" s="4" t="s">
        <v>243</v>
      </c>
      <c r="C45" s="4" t="s">
        <v>203</v>
      </c>
      <c r="D45" s="4" t="s">
        <v>48</v>
      </c>
      <c r="E45" s="4" t="s">
        <v>49</v>
      </c>
      <c r="F45" s="4">
        <v>150</v>
      </c>
      <c r="G45" s="4" t="s">
        <v>50</v>
      </c>
      <c r="H45" s="4" t="s">
        <v>68</v>
      </c>
      <c r="I45" s="4" t="s">
        <v>69</v>
      </c>
      <c r="J45" s="4"/>
      <c r="K45" s="4" t="s">
        <v>137</v>
      </c>
      <c r="L45" s="4" t="s">
        <v>138</v>
      </c>
      <c r="M45" s="4" t="s">
        <v>186</v>
      </c>
      <c r="N45" s="4" t="s">
        <v>56</v>
      </c>
      <c r="O45" s="4" t="s">
        <v>70</v>
      </c>
      <c r="P45" s="4">
        <v>0</v>
      </c>
      <c r="Q45" s="4">
        <v>0</v>
      </c>
      <c r="R45" s="4" t="s">
        <v>56</v>
      </c>
      <c r="S45" s="4" t="s">
        <v>204</v>
      </c>
      <c r="T45" s="5">
        <v>46216</v>
      </c>
      <c r="U45" s="4" t="s">
        <v>244</v>
      </c>
      <c r="V45" s="6">
        <f>IF(E45="","",IFERROR(VLOOKUP(E45,Scoring_Lookups!$A$5:$B$18,2,FALSE()),0))</f>
        <v>4</v>
      </c>
      <c r="W45" s="6">
        <f t="shared" si="8"/>
        <v>10</v>
      </c>
      <c r="X45" s="6">
        <f>IF(C45="","",IFERROR(VLOOKUP(C45,Scoring_Lookups!$D$5:$E$35,2,FALSE()),0))</f>
        <v>12</v>
      </c>
      <c r="Y45" s="6">
        <f>IF(G45="","",IFERROR(VLOOKUP(G45,Scoring_Lookups!$G$5:$H$16,2,FALSE()),0))</f>
        <v>6</v>
      </c>
      <c r="Z45" s="6">
        <f t="shared" ca="1" si="9"/>
        <v>6</v>
      </c>
      <c r="AA45" s="6">
        <f ca="1">IF(N45="Yes",0,IF(A45="",0,IF(COUNTIFS('04_Triggers'!B:B,A45,'04_Triggers'!D:D,"&gt;="&amp;(TODAY()-365))&gt;=2,20,IF(COUNTIFS('04_Triggers'!B:B,A45,'04_Triggers'!D:D,"&gt;="&amp;(TODAY()-365),'04_Triggers'!G:G,"High")&gt;=1,14,IF(COUNTIFS('04_Triggers'!B:B,A45,'04_Triggers'!D:D,"&gt;="&amp;(TODAY()-365))&gt;=1,7,IF(COUNTIFS('04_Triggers'!B:B,A45,'04_Triggers'!D:D,"&gt;="&amp;(TODAY()-1095),'04_Triggers'!D:D,"&lt;"&amp;(TODAY()-365))&gt;=1,7,0))))))</f>
        <v>0</v>
      </c>
      <c r="AB45" s="6">
        <f>IF(M45="","",IFERROR(VLOOKUP(M45,Scoring_Lookups!$J$5:$K$16,2,FALSE()),0))</f>
        <v>0</v>
      </c>
      <c r="AC45" s="6">
        <f>IF(O45="","",IFERROR(VLOOKUP(O45,Scoring_Lookups!$M$5:$N$8,2,FALSE()),0))</f>
        <v>4</v>
      </c>
      <c r="AD45" s="6">
        <f>IF(L45="","",IFERROR(VLOOKUP(L45,Scoring_Lookups!$P$5:$Q$9,2,FALSE()),0))</f>
        <v>8</v>
      </c>
      <c r="AE45" s="6">
        <f t="shared" si="10"/>
        <v>0</v>
      </c>
      <c r="AF45" s="6">
        <f t="shared" ca="1" si="11"/>
        <v>50</v>
      </c>
      <c r="AG45" s="6" t="str">
        <f t="shared" si="12"/>
        <v>OK</v>
      </c>
      <c r="AH45" s="6" t="s">
        <v>56</v>
      </c>
      <c r="AI45" s="6" t="str">
        <f t="shared" ca="1" si="13"/>
        <v>Priority 3</v>
      </c>
      <c r="AJ45" s="4" t="str">
        <f t="shared" ca="1" si="14"/>
        <v>P1 Payments=4 | P2 150=10 | P3 Czech Republic=12 | P4 PI Licence=6 | P5 Bootstrapped Profitable=6 | P6=0 | P7 No Card Program, No Plan=0 | P8 Cloud modern, Not API-first=4 | P9 Scheme Principal=8 | P10=0</v>
      </c>
      <c r="AK45" s="4"/>
      <c r="AL45" s="4" t="s">
        <v>61</v>
      </c>
      <c r="AM45" s="4" t="s">
        <v>56</v>
      </c>
      <c r="AN45" s="4"/>
      <c r="AO45" s="4" t="s">
        <v>188</v>
      </c>
      <c r="AP45" s="4" t="str">
        <f t="shared" si="15"/>
        <v>Watch</v>
      </c>
      <c r="AQ45" s="4" t="s">
        <v>84</v>
      </c>
    </row>
    <row r="46" spans="1:43" ht="99.75" customHeight="1" x14ac:dyDescent="0.2">
      <c r="A46" s="3" t="s">
        <v>245</v>
      </c>
      <c r="B46" s="3" t="s">
        <v>246</v>
      </c>
      <c r="C46" s="3" t="s">
        <v>203</v>
      </c>
      <c r="D46" s="3" t="s">
        <v>180</v>
      </c>
      <c r="E46" s="3" t="s">
        <v>181</v>
      </c>
      <c r="F46" s="3">
        <v>2000</v>
      </c>
      <c r="G46" s="3" t="s">
        <v>182</v>
      </c>
      <c r="H46" s="3" t="s">
        <v>51</v>
      </c>
      <c r="I46" s="3" t="s">
        <v>247</v>
      </c>
      <c r="J46" s="7">
        <v>45672</v>
      </c>
      <c r="K46" s="3" t="s">
        <v>184</v>
      </c>
      <c r="L46" s="3" t="s">
        <v>185</v>
      </c>
      <c r="M46" s="3" t="s">
        <v>186</v>
      </c>
      <c r="N46" s="3" t="s">
        <v>56</v>
      </c>
      <c r="O46" s="3" t="s">
        <v>70</v>
      </c>
      <c r="P46" s="3">
        <v>0</v>
      </c>
      <c r="Q46" s="3">
        <v>100000</v>
      </c>
      <c r="R46" s="3" t="s">
        <v>56</v>
      </c>
      <c r="S46" s="3" t="s">
        <v>204</v>
      </c>
      <c r="T46" s="7">
        <v>46216</v>
      </c>
      <c r="U46" s="3" t="s">
        <v>248</v>
      </c>
      <c r="V46" s="6">
        <f>IF(E46="","",IFERROR(VLOOKUP(E46,Scoring_Lookups!$A$5:$B$18,2,FALSE()),0))</f>
        <v>4</v>
      </c>
      <c r="W46" s="6">
        <f t="shared" si="8"/>
        <v>7</v>
      </c>
      <c r="X46" s="6">
        <f>IF(C46="","",IFERROR(VLOOKUP(C46,Scoring_Lookups!$D$5:$E$35,2,FALSE()),0))</f>
        <v>12</v>
      </c>
      <c r="Y46" s="6">
        <f>IF(G46="","",IFERROR(VLOOKUP(G46,Scoring_Lookups!$G$5:$H$16,2,FALSE()),0))</f>
        <v>0</v>
      </c>
      <c r="Z46" s="6">
        <f t="shared" ca="1" si="9"/>
        <v>8</v>
      </c>
      <c r="AA46" s="6">
        <f ca="1">IF(N46="Yes",0,IF(A46="",0,IF(COUNTIFS('04_Triggers'!B:B,A46,'04_Triggers'!D:D,"&gt;="&amp;(TODAY()-365))&gt;=2,20,IF(COUNTIFS('04_Triggers'!B:B,A46,'04_Triggers'!D:D,"&gt;="&amp;(TODAY()-365),'04_Triggers'!G:G,"High")&gt;=1,14,IF(COUNTIFS('04_Triggers'!B:B,A46,'04_Triggers'!D:D,"&gt;="&amp;(TODAY()-365))&gt;=1,7,IF(COUNTIFS('04_Triggers'!B:B,A46,'04_Triggers'!D:D,"&gt;="&amp;(TODAY()-1095),'04_Triggers'!D:D,"&lt;"&amp;(TODAY()-365))&gt;=1,7,0))))))</f>
        <v>7</v>
      </c>
      <c r="AB46" s="6">
        <f>IF(M46="","",IFERROR(VLOOKUP(M46,Scoring_Lookups!$J$5:$K$16,2,FALSE()),0))</f>
        <v>0</v>
      </c>
      <c r="AC46" s="6">
        <f>IF(O46="","",IFERROR(VLOOKUP(O46,Scoring_Lookups!$M$5:$N$8,2,FALSE()),0))</f>
        <v>4</v>
      </c>
      <c r="AD46" s="6">
        <f>IF(L46="","",IFERROR(VLOOKUP(L46,Scoring_Lookups!$P$5:$Q$9,2,FALSE()),0))</f>
        <v>0</v>
      </c>
      <c r="AE46" s="6">
        <f t="shared" si="10"/>
        <v>7</v>
      </c>
      <c r="AF46" s="6">
        <f t="shared" ca="1" si="11"/>
        <v>49</v>
      </c>
      <c r="AG46" s="6" t="str">
        <f t="shared" si="12"/>
        <v>DQ Gating</v>
      </c>
      <c r="AH46" s="6" t="s">
        <v>56</v>
      </c>
      <c r="AI46" s="6" t="str">
        <f t="shared" si="13"/>
        <v>Disqualified</v>
      </c>
      <c r="AJ46" s="3" t="str">
        <f t="shared" ca="1" si="14"/>
        <v>P1 Ecommerce=4 | P2 2000=7 | P3 Czech Republic=12 | P4 Unlicensed, No Sponsor=0 | P5 Series D+=8 | P6=7 | P7 No Card Program, No Plan=0 | P8 Cloud modern, Not API-first=4 | P9 No Scheme Participation Path=0 | P10=7</v>
      </c>
      <c r="AK46" s="3"/>
      <c r="AL46" s="3" t="s">
        <v>61</v>
      </c>
      <c r="AM46" s="3" t="s">
        <v>56</v>
      </c>
      <c r="AN46" s="3"/>
      <c r="AO46" s="3" t="s">
        <v>188</v>
      </c>
      <c r="AP46" s="3" t="str">
        <f t="shared" si="15"/>
        <v>Watch</v>
      </c>
      <c r="AQ46" s="3" t="s">
        <v>84</v>
      </c>
    </row>
    <row r="47" spans="1:43" ht="99.75" customHeight="1" x14ac:dyDescent="0.2">
      <c r="A47" s="4" t="s">
        <v>249</v>
      </c>
      <c r="B47" s="4" t="s">
        <v>250</v>
      </c>
      <c r="C47" s="4" t="s">
        <v>203</v>
      </c>
      <c r="D47" s="4" t="s">
        <v>48</v>
      </c>
      <c r="E47" s="4" t="s">
        <v>95</v>
      </c>
      <c r="F47" s="4">
        <v>250</v>
      </c>
      <c r="G47" s="4" t="s">
        <v>67</v>
      </c>
      <c r="H47" s="4" t="s">
        <v>96</v>
      </c>
      <c r="I47" s="4" t="s">
        <v>97</v>
      </c>
      <c r="J47" s="4"/>
      <c r="K47" s="4" t="s">
        <v>53</v>
      </c>
      <c r="L47" s="4" t="s">
        <v>77</v>
      </c>
      <c r="M47" s="4" t="s">
        <v>89</v>
      </c>
      <c r="N47" s="4" t="s">
        <v>56</v>
      </c>
      <c r="O47" s="4" t="s">
        <v>70</v>
      </c>
      <c r="P47" s="4">
        <v>0</v>
      </c>
      <c r="Q47" s="4">
        <v>20000</v>
      </c>
      <c r="R47" s="4" t="s">
        <v>58</v>
      </c>
      <c r="S47" s="4" t="s">
        <v>204</v>
      </c>
      <c r="T47" s="5">
        <v>46216</v>
      </c>
      <c r="U47" s="4" t="s">
        <v>251</v>
      </c>
      <c r="V47" s="6">
        <f>IF(E47="","",IFERROR(VLOOKUP(E47,Scoring_Lookups!$A$5:$B$18,2,FALSE()),0))</f>
        <v>7</v>
      </c>
      <c r="W47" s="6">
        <f t="shared" si="8"/>
        <v>10</v>
      </c>
      <c r="X47" s="6">
        <f>IF(C47="","",IFERROR(VLOOKUP(C47,Scoring_Lookups!$D$5:$E$35,2,FALSE()),0))</f>
        <v>12</v>
      </c>
      <c r="Y47" s="6">
        <f>IF(G47="","",IFERROR(VLOOKUP(G47,Scoring_Lookups!$G$5:$H$16,2,FALSE()),0))</f>
        <v>6</v>
      </c>
      <c r="Z47" s="6">
        <f t="shared" ca="1" si="9"/>
        <v>6</v>
      </c>
      <c r="AA47" s="6">
        <f ca="1">IF(N47="Yes",0,IF(A47="",0,IF(COUNTIFS('04_Triggers'!B:B,A47,'04_Triggers'!D:D,"&gt;="&amp;(TODAY()-365))&gt;=2,20,IF(COUNTIFS('04_Triggers'!B:B,A47,'04_Triggers'!D:D,"&gt;="&amp;(TODAY()-365),'04_Triggers'!G:G,"High")&gt;=1,14,IF(COUNTIFS('04_Triggers'!B:B,A47,'04_Triggers'!D:D,"&gt;="&amp;(TODAY()-365))&gt;=1,7,IF(COUNTIFS('04_Triggers'!B:B,A47,'04_Triggers'!D:D,"&gt;="&amp;(TODAY()-1095),'04_Triggers'!D:D,"&lt;"&amp;(TODAY()-365))&gt;=1,7,0))))))</f>
        <v>7</v>
      </c>
      <c r="AB47" s="6">
        <f>IF(M47="","",IFERROR(VLOOKUP(M47,Scoring_Lookups!$J$5:$K$16,2,FALSE()),0))</f>
        <v>3</v>
      </c>
      <c r="AC47" s="6">
        <f>IF(O47="","",IFERROR(VLOOKUP(O47,Scoring_Lookups!$M$5:$N$8,2,FALSE()),0))</f>
        <v>4</v>
      </c>
      <c r="AD47" s="6">
        <f>IF(L47="","",IFERROR(VLOOKUP(L47,Scoring_Lookups!$P$5:$Q$9,2,FALSE()),0))</f>
        <v>8</v>
      </c>
      <c r="AE47" s="6">
        <f t="shared" si="10"/>
        <v>4</v>
      </c>
      <c r="AF47" s="6">
        <f t="shared" ca="1" si="11"/>
        <v>67</v>
      </c>
      <c r="AG47" s="6" t="str">
        <f t="shared" si="12"/>
        <v>OK</v>
      </c>
      <c r="AH47" s="6" t="s">
        <v>56</v>
      </c>
      <c r="AI47" s="6" t="str">
        <f t="shared" ca="1" si="13"/>
        <v>Priority 2</v>
      </c>
      <c r="AJ47" s="4" t="str">
        <f t="shared" ca="1" si="14"/>
        <v>P1 Lending (Consumer)=7 | P2 250=10 | P3 Czech Republic=12 | P4 BIN Sponsor Agreement In Place=6 | P5 PE-controlled Stable=6 | P6=7 | P7 Incumbent Unknown=3 | P8 Cloud modern, Not API-first=4 | P9 Existing BIN Sponsor Relationship=8 | P10=4</v>
      </c>
      <c r="AK47" s="4"/>
      <c r="AL47" s="4" t="s">
        <v>61</v>
      </c>
      <c r="AM47" s="4" t="s">
        <v>56</v>
      </c>
      <c r="AN47" s="4"/>
      <c r="AO47" s="4" t="s">
        <v>100</v>
      </c>
      <c r="AP47" s="4" t="str">
        <f t="shared" si="15"/>
        <v>OK</v>
      </c>
      <c r="AQ47" s="4" t="s">
        <v>84</v>
      </c>
    </row>
    <row r="48" spans="1:43" ht="99.75" customHeight="1" x14ac:dyDescent="0.2">
      <c r="A48" s="3" t="s">
        <v>252</v>
      </c>
      <c r="B48" s="3" t="s">
        <v>253</v>
      </c>
      <c r="C48" s="3" t="s">
        <v>203</v>
      </c>
      <c r="D48" s="3" t="s">
        <v>48</v>
      </c>
      <c r="E48" s="3" t="s">
        <v>254</v>
      </c>
      <c r="F48" s="3">
        <v>50</v>
      </c>
      <c r="G48" s="3" t="s">
        <v>50</v>
      </c>
      <c r="H48" s="3" t="s">
        <v>96</v>
      </c>
      <c r="I48" s="3" t="s">
        <v>97</v>
      </c>
      <c r="J48" s="3"/>
      <c r="K48" s="3" t="s">
        <v>53</v>
      </c>
      <c r="L48" s="3" t="s">
        <v>77</v>
      </c>
      <c r="M48" s="3" t="s">
        <v>89</v>
      </c>
      <c r="N48" s="3" t="s">
        <v>56</v>
      </c>
      <c r="O48" s="3" t="s">
        <v>70</v>
      </c>
      <c r="P48" s="3">
        <v>30000</v>
      </c>
      <c r="Q48" s="3">
        <v>60000</v>
      </c>
      <c r="R48" s="3" t="s">
        <v>71</v>
      </c>
      <c r="S48" s="3" t="s">
        <v>255</v>
      </c>
      <c r="T48" s="7">
        <v>46216</v>
      </c>
      <c r="U48" s="3" t="s">
        <v>256</v>
      </c>
      <c r="V48" s="6">
        <f>IF(E48="","",IFERROR(VLOOKUP(E48,Scoring_Lookups!$A$5:$B$18,2,FALSE()),0))</f>
        <v>7</v>
      </c>
      <c r="W48" s="6">
        <f t="shared" si="8"/>
        <v>10</v>
      </c>
      <c r="X48" s="6">
        <f>IF(C48="","",IFERROR(VLOOKUP(C48,Scoring_Lookups!$D$5:$E$35,2,FALSE()),0))</f>
        <v>12</v>
      </c>
      <c r="Y48" s="6">
        <f>IF(G48="","",IFERROR(VLOOKUP(G48,Scoring_Lookups!$G$5:$H$16,2,FALSE()),0))</f>
        <v>6</v>
      </c>
      <c r="Z48" s="6">
        <f t="shared" ca="1" si="9"/>
        <v>6</v>
      </c>
      <c r="AA48" s="6">
        <f ca="1">IF(N48="Yes",0,IF(A48="",0,IF(COUNTIFS('04_Triggers'!B:B,A48,'04_Triggers'!D:D,"&gt;="&amp;(TODAY()-365))&gt;=2,20,IF(COUNTIFS('04_Triggers'!B:B,A48,'04_Triggers'!D:D,"&gt;="&amp;(TODAY()-365),'04_Triggers'!G:G,"High")&gt;=1,14,IF(COUNTIFS('04_Triggers'!B:B,A48,'04_Triggers'!D:D,"&gt;="&amp;(TODAY()-365))&gt;=1,7,IF(COUNTIFS('04_Triggers'!B:B,A48,'04_Triggers'!D:D,"&gt;="&amp;(TODAY()-1095),'04_Triggers'!D:D,"&lt;"&amp;(TODAY()-365))&gt;=1,7,0))))))</f>
        <v>0</v>
      </c>
      <c r="AB48" s="6">
        <f>IF(M48="","",IFERROR(VLOOKUP(M48,Scoring_Lookups!$J$5:$K$16,2,FALSE()),0))</f>
        <v>3</v>
      </c>
      <c r="AC48" s="6">
        <f>IF(O48="","",IFERROR(VLOOKUP(O48,Scoring_Lookups!$M$5:$N$8,2,FALSE()),0))</f>
        <v>4</v>
      </c>
      <c r="AD48" s="6">
        <f>IF(L48="","",IFERROR(VLOOKUP(L48,Scoring_Lookups!$P$5:$Q$9,2,FALSE()),0))</f>
        <v>8</v>
      </c>
      <c r="AE48" s="6">
        <f t="shared" si="10"/>
        <v>10</v>
      </c>
      <c r="AF48" s="6">
        <f t="shared" ca="1" si="11"/>
        <v>66</v>
      </c>
      <c r="AG48" s="6" t="str">
        <f t="shared" si="12"/>
        <v>OK</v>
      </c>
      <c r="AH48" s="6" t="s">
        <v>56</v>
      </c>
      <c r="AI48" s="6" t="str">
        <f t="shared" ca="1" si="13"/>
        <v>Priority 2</v>
      </c>
      <c r="AJ48" s="3" t="str">
        <f t="shared" ca="1" si="14"/>
        <v>P1 Expense Management=7 | P2 50=10 | P3 Czech Republic=12 | P4 PI Licence=6 | P5 PE-controlled Stable=6 | P6=0 | P7 Incumbent Unknown=3 | P8 Cloud modern, Not API-first=4 | P9 Existing BIN Sponsor Relationship=8 | P10=10</v>
      </c>
      <c r="AK48" s="3"/>
      <c r="AL48" s="3" t="s">
        <v>61</v>
      </c>
      <c r="AM48" s="3" t="s">
        <v>56</v>
      </c>
      <c r="AN48" s="3"/>
      <c r="AO48" s="3" t="s">
        <v>92</v>
      </c>
      <c r="AP48" s="3" t="str">
        <f t="shared" si="15"/>
        <v>OK</v>
      </c>
      <c r="AQ48" s="3" t="s">
        <v>63</v>
      </c>
    </row>
    <row r="49" spans="1:43" ht="99.75" customHeight="1" x14ac:dyDescent="0.2">
      <c r="A49" s="4" t="s">
        <v>257</v>
      </c>
      <c r="B49" s="4" t="s">
        <v>258</v>
      </c>
      <c r="C49" s="4" t="s">
        <v>203</v>
      </c>
      <c r="D49" s="4" t="s">
        <v>48</v>
      </c>
      <c r="E49" s="4" t="s">
        <v>128</v>
      </c>
      <c r="F49" s="4">
        <v>25</v>
      </c>
      <c r="G49" s="4" t="s">
        <v>50</v>
      </c>
      <c r="H49" s="4" t="s">
        <v>51</v>
      </c>
      <c r="I49" s="4" t="s">
        <v>87</v>
      </c>
      <c r="J49" s="4"/>
      <c r="K49" s="4" t="s">
        <v>184</v>
      </c>
      <c r="L49" s="4" t="s">
        <v>54</v>
      </c>
      <c r="M49" s="4" t="s">
        <v>186</v>
      </c>
      <c r="N49" s="4" t="s">
        <v>56</v>
      </c>
      <c r="O49" s="4" t="s">
        <v>57</v>
      </c>
      <c r="P49" s="4">
        <v>0</v>
      </c>
      <c r="Q49" s="4">
        <v>0</v>
      </c>
      <c r="R49" s="4" t="s">
        <v>58</v>
      </c>
      <c r="S49" s="4" t="s">
        <v>255</v>
      </c>
      <c r="T49" s="5">
        <v>46216</v>
      </c>
      <c r="U49" s="4" t="s">
        <v>259</v>
      </c>
      <c r="V49" s="6">
        <f>IF(E49="","",IFERROR(VLOOKUP(E49,Scoring_Lookups!$A$5:$B$18,2,FALSE()),0))</f>
        <v>4</v>
      </c>
      <c r="W49" s="6">
        <f t="shared" si="8"/>
        <v>7</v>
      </c>
      <c r="X49" s="6">
        <f>IF(C49="","",IFERROR(VLOOKUP(C49,Scoring_Lookups!$D$5:$E$35,2,FALSE()),0))</f>
        <v>12</v>
      </c>
      <c r="Y49" s="6">
        <f>IF(G49="","",IFERROR(VLOOKUP(G49,Scoring_Lookups!$G$5:$H$16,2,FALSE()),0))</f>
        <v>6</v>
      </c>
      <c r="Z49" s="6">
        <f t="shared" ca="1" si="9"/>
        <v>6</v>
      </c>
      <c r="AA49" s="6">
        <f ca="1">IF(N49="Yes",0,IF(A49="",0,IF(COUNTIFS('04_Triggers'!B:B,A49,'04_Triggers'!D:D,"&gt;="&amp;(TODAY()-365))&gt;=2,20,IF(COUNTIFS('04_Triggers'!B:B,A49,'04_Triggers'!D:D,"&gt;="&amp;(TODAY()-365),'04_Triggers'!G:G,"High")&gt;=1,14,IF(COUNTIFS('04_Triggers'!B:B,A49,'04_Triggers'!D:D,"&gt;="&amp;(TODAY()-365))&gt;=1,7,IF(COUNTIFS('04_Triggers'!B:B,A49,'04_Triggers'!D:D,"&gt;="&amp;(TODAY()-1095),'04_Triggers'!D:D,"&lt;"&amp;(TODAY()-365))&gt;=1,7,0))))))</f>
        <v>0</v>
      </c>
      <c r="AB49" s="6">
        <f>IF(M49="","",IFERROR(VLOOKUP(M49,Scoring_Lookups!$J$5:$K$16,2,FALSE()),0))</f>
        <v>0</v>
      </c>
      <c r="AC49" s="6">
        <f>IF(O49="","",IFERROR(VLOOKUP(O49,Scoring_Lookups!$M$5:$N$8,2,FALSE()),0))</f>
        <v>6</v>
      </c>
      <c r="AD49" s="6">
        <f>IF(L49="","",IFERROR(VLOOKUP(L49,Scoring_Lookups!$P$5:$Q$9,2,FALSE()),0))</f>
        <v>3</v>
      </c>
      <c r="AE49" s="6">
        <f t="shared" si="10"/>
        <v>0</v>
      </c>
      <c r="AF49" s="6">
        <f t="shared" ca="1" si="11"/>
        <v>44</v>
      </c>
      <c r="AG49" s="6" t="str">
        <f t="shared" si="12"/>
        <v>OK</v>
      </c>
      <c r="AH49" s="6" t="s">
        <v>56</v>
      </c>
      <c r="AI49" s="6" t="str">
        <f t="shared" ca="1" si="13"/>
        <v>Priority 3</v>
      </c>
      <c r="AJ49" s="4" t="str">
        <f t="shared" ca="1" si="14"/>
        <v>P1 Investment Management=4 | P2 25=7 | P3 Czech Republic=12 | P4 PI Licence=6 | P5 Series A=6 | P6=0 | P7 No Card Program, No Plan=0 | P8 Cloud-native (AWS/Azure/GCP), API-first, AI signals=6 | P9 No Sponsor, Licensing Suggests Imminent=3 | P10=0</v>
      </c>
      <c r="AK49" s="4"/>
      <c r="AL49" s="4" t="s">
        <v>61</v>
      </c>
      <c r="AM49" s="4" t="s">
        <v>56</v>
      </c>
      <c r="AN49" s="4"/>
      <c r="AO49" s="4" t="s">
        <v>188</v>
      </c>
      <c r="AP49" s="4" t="str">
        <f t="shared" si="15"/>
        <v>Watch</v>
      </c>
      <c r="AQ49" s="4" t="s">
        <v>84</v>
      </c>
    </row>
    <row r="50" spans="1:43" ht="99.75" customHeight="1" x14ac:dyDescent="0.2">
      <c r="A50" s="3" t="s">
        <v>260</v>
      </c>
      <c r="B50" s="3" t="s">
        <v>261</v>
      </c>
      <c r="C50" s="3" t="s">
        <v>262</v>
      </c>
      <c r="D50" s="3" t="s">
        <v>134</v>
      </c>
      <c r="E50" s="3" t="s">
        <v>135</v>
      </c>
      <c r="F50" s="3">
        <v>300</v>
      </c>
      <c r="G50" s="3" t="s">
        <v>136</v>
      </c>
      <c r="H50" s="3" t="s">
        <v>96</v>
      </c>
      <c r="I50" s="3" t="s">
        <v>97</v>
      </c>
      <c r="J50" s="3"/>
      <c r="K50" s="3" t="s">
        <v>137</v>
      </c>
      <c r="L50" s="3" t="s">
        <v>138</v>
      </c>
      <c r="M50" s="3" t="s">
        <v>159</v>
      </c>
      <c r="N50" s="3" t="s">
        <v>56</v>
      </c>
      <c r="O50" s="3" t="s">
        <v>57</v>
      </c>
      <c r="P50" s="3">
        <v>200000</v>
      </c>
      <c r="Q50" s="3">
        <v>500000</v>
      </c>
      <c r="R50" s="3" t="s">
        <v>71</v>
      </c>
      <c r="S50" s="3" t="s">
        <v>263</v>
      </c>
      <c r="T50" s="7">
        <v>46216</v>
      </c>
      <c r="U50" s="3" t="s">
        <v>264</v>
      </c>
      <c r="V50" s="6">
        <f>IF(E50="","",IFERROR(VLOOKUP(E50,Scoring_Lookups!$A$5:$B$18,2,FALSE()),0))</f>
        <v>10</v>
      </c>
      <c r="W50" s="6">
        <f t="shared" si="8"/>
        <v>10</v>
      </c>
      <c r="X50" s="6">
        <f>IF(C50="","",IFERROR(VLOOKUP(C50,Scoring_Lookups!$D$5:$E$35,2,FALSE()),0))</f>
        <v>12</v>
      </c>
      <c r="Y50" s="6">
        <f>IF(G50="","",IFERROR(VLOOKUP(G50,Scoring_Lookups!$G$5:$H$16,2,FALSE()),0))</f>
        <v>8</v>
      </c>
      <c r="Z50" s="6">
        <f t="shared" ca="1" si="9"/>
        <v>6</v>
      </c>
      <c r="AA50" s="6">
        <f ca="1">IF(N50="Yes",0,IF(A50="",0,IF(COUNTIFS('04_Triggers'!B:B,A50,'04_Triggers'!D:D,"&gt;="&amp;(TODAY()-365))&gt;=2,20,IF(COUNTIFS('04_Triggers'!B:B,A50,'04_Triggers'!D:D,"&gt;="&amp;(TODAY()-365),'04_Triggers'!G:G,"High")&gt;=1,14,IF(COUNTIFS('04_Triggers'!B:B,A50,'04_Triggers'!D:D,"&gt;="&amp;(TODAY()-365))&gt;=1,7,IF(COUNTIFS('04_Triggers'!B:B,A50,'04_Triggers'!D:D,"&gt;="&amp;(TODAY()-1095),'04_Triggers'!D:D,"&lt;"&amp;(TODAY()-365))&gt;=1,7,0))))))</f>
        <v>7</v>
      </c>
      <c r="AB50" s="6">
        <f>IF(M50="","",IFERROR(VLOOKUP(M50,Scoring_Lookups!$J$5:$K$16,2,FALSE()),0))</f>
        <v>6</v>
      </c>
      <c r="AC50" s="6">
        <f>IF(O50="","",IFERROR(VLOOKUP(O50,Scoring_Lookups!$M$5:$N$8,2,FALSE()),0))</f>
        <v>6</v>
      </c>
      <c r="AD50" s="6">
        <f>IF(L50="","",IFERROR(VLOOKUP(L50,Scoring_Lookups!$P$5:$Q$9,2,FALSE()),0))</f>
        <v>8</v>
      </c>
      <c r="AE50" s="6">
        <f t="shared" si="10"/>
        <v>10</v>
      </c>
      <c r="AF50" s="6">
        <f t="shared" ca="1" si="11"/>
        <v>83</v>
      </c>
      <c r="AG50" s="6" t="str">
        <f t="shared" si="12"/>
        <v>OK</v>
      </c>
      <c r="AH50" s="6" t="s">
        <v>56</v>
      </c>
      <c r="AI50" s="6" t="str">
        <f t="shared" ca="1" si="13"/>
        <v>Priority 1</v>
      </c>
      <c r="AJ50" s="3" t="str">
        <f t="shared" ca="1" si="14"/>
        <v>P1 Digital Banking=10 | P2 300=10 | P3 Romania=12 | P4 Credit Institution Licence=8 | P5 PE-controlled Stable=6 | P6=7 | P7 Smaller/Less-known Processor=6 | P8 Cloud-native (AWS/Azure/GCP), API-first, AI signals=6 | P9 Scheme Principal=8 | P10=10</v>
      </c>
      <c r="AK50" s="3"/>
      <c r="AL50" s="3" t="s">
        <v>61</v>
      </c>
      <c r="AM50" s="3" t="s">
        <v>56</v>
      </c>
      <c r="AN50" s="3"/>
      <c r="AO50" s="3" t="s">
        <v>92</v>
      </c>
      <c r="AP50" s="3" t="str">
        <f t="shared" si="15"/>
        <v>OK</v>
      </c>
      <c r="AQ50" s="3" t="s">
        <v>84</v>
      </c>
    </row>
    <row r="51" spans="1:43" ht="99.75" customHeight="1" x14ac:dyDescent="0.2">
      <c r="A51" s="3" t="s">
        <v>265</v>
      </c>
      <c r="B51" s="3" t="s">
        <v>266</v>
      </c>
      <c r="C51" s="3" t="s">
        <v>262</v>
      </c>
      <c r="D51" s="3" t="s">
        <v>48</v>
      </c>
      <c r="E51" s="3" t="s">
        <v>95</v>
      </c>
      <c r="F51" s="3">
        <v>100</v>
      </c>
      <c r="G51" s="3" t="s">
        <v>175</v>
      </c>
      <c r="H51" s="3" t="s">
        <v>96</v>
      </c>
      <c r="I51" s="3" t="s">
        <v>97</v>
      </c>
      <c r="J51" s="3"/>
      <c r="K51" s="3" t="s">
        <v>53</v>
      </c>
      <c r="L51" s="3" t="s">
        <v>77</v>
      </c>
      <c r="M51" s="3" t="s">
        <v>89</v>
      </c>
      <c r="N51" s="3" t="s">
        <v>56</v>
      </c>
      <c r="O51" s="3" t="s">
        <v>57</v>
      </c>
      <c r="P51" s="3">
        <v>500000</v>
      </c>
      <c r="Q51" s="3">
        <v>1000000</v>
      </c>
      <c r="R51" s="3" t="s">
        <v>71</v>
      </c>
      <c r="S51" s="3" t="s">
        <v>263</v>
      </c>
      <c r="T51" s="7">
        <v>46216</v>
      </c>
      <c r="U51" s="3" t="s">
        <v>267</v>
      </c>
      <c r="V51" s="6">
        <f>IF(E51="","",IFERROR(VLOOKUP(E51,Scoring_Lookups!$A$5:$B$18,2,FALSE()),0))</f>
        <v>7</v>
      </c>
      <c r="W51" s="6">
        <f t="shared" si="8"/>
        <v>10</v>
      </c>
      <c r="X51" s="6">
        <f>IF(C51="","",IFERROR(VLOOKUP(C51,Scoring_Lookups!$D$5:$E$35,2,FALSE()),0))</f>
        <v>12</v>
      </c>
      <c r="Y51" s="6">
        <f>IF(G51="","",IFERROR(VLOOKUP(G51,Scoring_Lookups!$G$5:$H$16,2,FALSE()),0))</f>
        <v>8</v>
      </c>
      <c r="Z51" s="6">
        <f t="shared" ca="1" si="9"/>
        <v>6</v>
      </c>
      <c r="AA51" s="6">
        <f ca="1">IF(N51="Yes",0,IF(A51="",0,IF(COUNTIFS('04_Triggers'!B:B,A51,'04_Triggers'!D:D,"&gt;="&amp;(TODAY()-365))&gt;=2,20,IF(COUNTIFS('04_Triggers'!B:B,A51,'04_Triggers'!D:D,"&gt;="&amp;(TODAY()-365),'04_Triggers'!G:G,"High")&gt;=1,14,IF(COUNTIFS('04_Triggers'!B:B,A51,'04_Triggers'!D:D,"&gt;="&amp;(TODAY()-365))&gt;=1,7,IF(COUNTIFS('04_Triggers'!B:B,A51,'04_Triggers'!D:D,"&gt;="&amp;(TODAY()-1095),'04_Triggers'!D:D,"&lt;"&amp;(TODAY()-365))&gt;=1,7,0))))))</f>
        <v>7</v>
      </c>
      <c r="AB51" s="6">
        <f>IF(M51="","",IFERROR(VLOOKUP(M51,Scoring_Lookups!$J$5:$K$16,2,FALSE()),0))</f>
        <v>3</v>
      </c>
      <c r="AC51" s="6">
        <f>IF(O51="","",IFERROR(VLOOKUP(O51,Scoring_Lookups!$M$5:$N$8,2,FALSE()),0))</f>
        <v>6</v>
      </c>
      <c r="AD51" s="6">
        <f>IF(L51="","",IFERROR(VLOOKUP(L51,Scoring_Lookups!$P$5:$Q$9,2,FALSE()),0))</f>
        <v>8</v>
      </c>
      <c r="AE51" s="6">
        <f t="shared" si="10"/>
        <v>10</v>
      </c>
      <c r="AF51" s="6">
        <f t="shared" ca="1" si="11"/>
        <v>77</v>
      </c>
      <c r="AG51" s="6" t="str">
        <f t="shared" si="12"/>
        <v>OK</v>
      </c>
      <c r="AH51" s="6" t="s">
        <v>56</v>
      </c>
      <c r="AI51" s="6" t="str">
        <f t="shared" ca="1" si="13"/>
        <v>Priority 2</v>
      </c>
      <c r="AJ51" s="3" t="str">
        <f t="shared" ca="1" si="14"/>
        <v>P1 Lending (Consumer)=7 | P2 100=10 | P3 Romania=12 | P4 EMI Licence=8 | P5 PE-controlled Stable=6 | P6=7 | P7 Incumbent Unknown=3 | P8 Cloud-native (AWS/Azure/GCP), API-first, AI signals=6 | P9 Existing BIN Sponsor Relationship=8 | P10=10</v>
      </c>
      <c r="AK51" s="3"/>
      <c r="AL51" s="3" t="s">
        <v>61</v>
      </c>
      <c r="AM51" s="3" t="s">
        <v>56</v>
      </c>
      <c r="AN51" s="3"/>
      <c r="AO51" s="3" t="s">
        <v>92</v>
      </c>
      <c r="AP51" s="3" t="str">
        <f t="shared" si="15"/>
        <v>OK</v>
      </c>
      <c r="AQ51" s="4" t="s">
        <v>84</v>
      </c>
    </row>
    <row r="52" spans="1:43" ht="99.75" customHeight="1" x14ac:dyDescent="0.2">
      <c r="A52" s="3" t="s">
        <v>268</v>
      </c>
      <c r="B52" s="3" t="s">
        <v>269</v>
      </c>
      <c r="C52" s="3" t="s">
        <v>262</v>
      </c>
      <c r="D52" s="3" t="s">
        <v>48</v>
      </c>
      <c r="E52" s="3" t="s">
        <v>166</v>
      </c>
      <c r="F52" s="3">
        <v>50</v>
      </c>
      <c r="G52" s="3" t="s">
        <v>175</v>
      </c>
      <c r="H52" s="3" t="s">
        <v>96</v>
      </c>
      <c r="I52" s="3" t="s">
        <v>97</v>
      </c>
      <c r="J52" s="3"/>
      <c r="K52" s="3" t="s">
        <v>270</v>
      </c>
      <c r="L52" s="3" t="s">
        <v>138</v>
      </c>
      <c r="M52" s="3" t="s">
        <v>130</v>
      </c>
      <c r="N52" s="3" t="s">
        <v>56</v>
      </c>
      <c r="O52" s="3" t="s">
        <v>57</v>
      </c>
      <c r="P52" s="3">
        <v>30000</v>
      </c>
      <c r="Q52" s="3">
        <v>100000</v>
      </c>
      <c r="R52" s="3" t="s">
        <v>71</v>
      </c>
      <c r="S52" s="3" t="s">
        <v>263</v>
      </c>
      <c r="T52" s="7">
        <v>46216</v>
      </c>
      <c r="U52" s="3" t="s">
        <v>271</v>
      </c>
      <c r="V52" s="6">
        <f>IF(E52="","",IFERROR(VLOOKUP(E52,Scoring_Lookups!$A$5:$B$18,2,FALSE()),0))</f>
        <v>4</v>
      </c>
      <c r="W52" s="6">
        <f t="shared" si="8"/>
        <v>10</v>
      </c>
      <c r="X52" s="6">
        <f>IF(C52="","",IFERROR(VLOOKUP(C52,Scoring_Lookups!$D$5:$E$35,2,FALSE()),0))</f>
        <v>12</v>
      </c>
      <c r="Y52" s="6">
        <f>IF(G52="","",IFERROR(VLOOKUP(G52,Scoring_Lookups!$G$5:$H$16,2,FALSE()),0))</f>
        <v>8</v>
      </c>
      <c r="Z52" s="6">
        <f t="shared" ca="1" si="9"/>
        <v>6</v>
      </c>
      <c r="AA52" s="6">
        <f ca="1">IF(N52="Yes",0,IF(A52="",0,IF(COUNTIFS('04_Triggers'!B:B,A52,'04_Triggers'!D:D,"&gt;="&amp;(TODAY()-365))&gt;=2,20,IF(COUNTIFS('04_Triggers'!B:B,A52,'04_Triggers'!D:D,"&gt;="&amp;(TODAY()-365),'04_Triggers'!G:G,"High")&gt;=1,14,IF(COUNTIFS('04_Triggers'!B:B,A52,'04_Triggers'!D:D,"&gt;="&amp;(TODAY()-365))&gt;=1,7,IF(COUNTIFS('04_Triggers'!B:B,A52,'04_Triggers'!D:D,"&gt;="&amp;(TODAY()-1095),'04_Triggers'!D:D,"&lt;"&amp;(TODAY()-365))&gt;=1,7,0))))))</f>
        <v>14</v>
      </c>
      <c r="AB52" s="6">
        <f>IF(M52="","",IFERROR(VLOOKUP(M52,Scoring_Lookups!$J$5:$K$16,2,FALSE()),0))</f>
        <v>8</v>
      </c>
      <c r="AC52" s="6">
        <f>IF(O52="","",IFERROR(VLOOKUP(O52,Scoring_Lookups!$M$5:$N$8,2,FALSE()),0))</f>
        <v>6</v>
      </c>
      <c r="AD52" s="6">
        <f>IF(L52="","",IFERROR(VLOOKUP(L52,Scoring_Lookups!$P$5:$Q$9,2,FALSE()),0))</f>
        <v>8</v>
      </c>
      <c r="AE52" s="6">
        <f t="shared" si="10"/>
        <v>10</v>
      </c>
      <c r="AF52" s="6">
        <f t="shared" ca="1" si="11"/>
        <v>86</v>
      </c>
      <c r="AG52" s="6" t="str">
        <f t="shared" si="12"/>
        <v>OK</v>
      </c>
      <c r="AH52" s="6" t="s">
        <v>56</v>
      </c>
      <c r="AI52" s="6" t="str">
        <f t="shared" ca="1" si="13"/>
        <v>Priority 1</v>
      </c>
      <c r="AJ52" s="3" t="str">
        <f t="shared" ca="1" si="14"/>
        <v>P1 Crypto=4 | P2 50=10 | P3 Romania=12 | P4 EMI Licence=8 | P5 PE-controlled Stable=6 | P6=14 | P7 In-house Legacy Processor=8 | P8 Cloud-native (AWS/Azure/GCP), API-first, AI signals=6 | P9 Scheme Principal=8 | P10=10</v>
      </c>
      <c r="AK52" s="3"/>
      <c r="AL52" s="3" t="s">
        <v>61</v>
      </c>
      <c r="AM52" s="3" t="s">
        <v>56</v>
      </c>
      <c r="AN52" s="3"/>
      <c r="AO52" s="3" t="s">
        <v>92</v>
      </c>
      <c r="AP52" s="3" t="str">
        <f t="shared" si="15"/>
        <v>OK</v>
      </c>
      <c r="AQ52" s="3" t="s">
        <v>84</v>
      </c>
    </row>
    <row r="53" spans="1:43" ht="99.75" customHeight="1" x14ac:dyDescent="0.2">
      <c r="A53" s="3" t="s">
        <v>272</v>
      </c>
      <c r="B53" s="3" t="s">
        <v>273</v>
      </c>
      <c r="C53" s="3" t="s">
        <v>262</v>
      </c>
      <c r="D53" s="3" t="s">
        <v>48</v>
      </c>
      <c r="E53" s="3" t="s">
        <v>49</v>
      </c>
      <c r="F53" s="3">
        <v>35</v>
      </c>
      <c r="G53" s="3" t="s">
        <v>274</v>
      </c>
      <c r="H53" s="3" t="s">
        <v>68</v>
      </c>
      <c r="I53" s="3" t="s">
        <v>69</v>
      </c>
      <c r="J53" s="3"/>
      <c r="K53" s="3" t="s">
        <v>53</v>
      </c>
      <c r="L53" s="3" t="s">
        <v>114</v>
      </c>
      <c r="M53" s="3" t="s">
        <v>55</v>
      </c>
      <c r="N53" s="3" t="s">
        <v>56</v>
      </c>
      <c r="O53" s="3" t="s">
        <v>70</v>
      </c>
      <c r="P53" s="3">
        <v>0</v>
      </c>
      <c r="Q53" s="3">
        <v>100000</v>
      </c>
      <c r="R53" s="3" t="s">
        <v>71</v>
      </c>
      <c r="S53" s="3" t="s">
        <v>263</v>
      </c>
      <c r="T53" s="7">
        <v>46216</v>
      </c>
      <c r="U53" s="3" t="s">
        <v>275</v>
      </c>
      <c r="V53" s="6">
        <f>IF(E53="","",IFERROR(VLOOKUP(E53,Scoring_Lookups!$A$5:$B$18,2,FALSE()),0))</f>
        <v>4</v>
      </c>
      <c r="W53" s="6">
        <f t="shared" si="8"/>
        <v>7</v>
      </c>
      <c r="X53" s="6">
        <f>IF(C53="","",IFERROR(VLOOKUP(C53,Scoring_Lookups!$D$5:$E$35,2,FALSE()),0))</f>
        <v>12</v>
      </c>
      <c r="Y53" s="6">
        <f>IF(G53="","",IFERROR(VLOOKUP(G53,Scoring_Lookups!$G$5:$H$16,2,FALSE()),0))</f>
        <v>6</v>
      </c>
      <c r="Z53" s="6">
        <f t="shared" ca="1" si="9"/>
        <v>6</v>
      </c>
      <c r="AA53" s="6">
        <f ca="1">IF(N53="Yes",0,IF(A53="",0,IF(COUNTIFS('04_Triggers'!B:B,A53,'04_Triggers'!D:D,"&gt;="&amp;(TODAY()-365))&gt;=2,20,IF(COUNTIFS('04_Triggers'!B:B,A53,'04_Triggers'!D:D,"&gt;="&amp;(TODAY()-365),'04_Triggers'!G:G,"High")&gt;=1,14,IF(COUNTIFS('04_Triggers'!B:B,A53,'04_Triggers'!D:D,"&gt;="&amp;(TODAY()-365))&gt;=1,7,IF(COUNTIFS('04_Triggers'!B:B,A53,'04_Triggers'!D:D,"&gt;="&amp;(TODAY()-1095),'04_Triggers'!D:D,"&lt;"&amp;(TODAY()-365))&gt;=1,7,0))))))</f>
        <v>14</v>
      </c>
      <c r="AB53" s="6">
        <f>IF(M53="","",IFERROR(VLOOKUP(M53,Scoring_Lookups!$J$5:$K$16,2,FALSE()),0))</f>
        <v>4</v>
      </c>
      <c r="AC53" s="6">
        <f>IF(O53="","",IFERROR(VLOOKUP(O53,Scoring_Lookups!$M$5:$N$8,2,FALSE()),0))</f>
        <v>4</v>
      </c>
      <c r="AD53" s="6">
        <f>IF(L53="","",IFERROR(VLOOKUP(L53,Scoring_Lookups!$P$5:$Q$9,2,FALSE()),0))</f>
        <v>6</v>
      </c>
      <c r="AE53" s="6">
        <f t="shared" si="10"/>
        <v>10</v>
      </c>
      <c r="AF53" s="6">
        <f t="shared" ca="1" si="11"/>
        <v>73</v>
      </c>
      <c r="AG53" s="6" t="str">
        <f t="shared" si="12"/>
        <v>OK</v>
      </c>
      <c r="AH53" s="6" t="s">
        <v>56</v>
      </c>
      <c r="AI53" s="6" t="str">
        <f t="shared" ca="1" si="13"/>
        <v>Priority 2</v>
      </c>
      <c r="AJ53" s="3" t="str">
        <f t="shared" ca="1" si="14"/>
        <v>P1 Payments=4 | P2 35=7 | P3 Romania=12 | P4 EMI Licence In Application=6 | P5 Bootstrapped Profitable=6 | P6=14 | P7 Planning to Launch (No Incumbent Yet)=4 | P8 Cloud modern, Not API-first=4 | P9 Scheme Participation Visible=6 | P10=10</v>
      </c>
      <c r="AK53" s="3"/>
      <c r="AL53" s="3" t="s">
        <v>61</v>
      </c>
      <c r="AM53" s="3" t="s">
        <v>56</v>
      </c>
      <c r="AN53" s="3"/>
      <c r="AO53" s="3" t="s">
        <v>100</v>
      </c>
      <c r="AP53" s="3" t="str">
        <f t="shared" si="15"/>
        <v>OK</v>
      </c>
      <c r="AQ53" s="4" t="s">
        <v>63</v>
      </c>
    </row>
    <row r="54" spans="1:43" ht="99.75" customHeight="1" x14ac:dyDescent="0.2">
      <c r="A54" s="3" t="s">
        <v>276</v>
      </c>
      <c r="B54" s="3" t="s">
        <v>277</v>
      </c>
      <c r="C54" s="3" t="s">
        <v>262</v>
      </c>
      <c r="D54" s="3" t="s">
        <v>48</v>
      </c>
      <c r="E54" s="3" t="s">
        <v>49</v>
      </c>
      <c r="F54" s="3">
        <v>55</v>
      </c>
      <c r="G54" s="3" t="s">
        <v>50</v>
      </c>
      <c r="H54" s="3" t="s">
        <v>51</v>
      </c>
      <c r="I54" s="3" t="s">
        <v>87</v>
      </c>
      <c r="J54" s="3">
        <v>45580</v>
      </c>
      <c r="K54" s="3" t="s">
        <v>53</v>
      </c>
      <c r="L54" s="3" t="s">
        <v>54</v>
      </c>
      <c r="M54" s="3" t="s">
        <v>55</v>
      </c>
      <c r="N54" s="3" t="s">
        <v>56</v>
      </c>
      <c r="O54" s="3" t="s">
        <v>57</v>
      </c>
      <c r="P54" s="3">
        <v>0</v>
      </c>
      <c r="Q54" s="3">
        <v>100000</v>
      </c>
      <c r="R54" s="3" t="s">
        <v>71</v>
      </c>
      <c r="S54" s="3" t="s">
        <v>263</v>
      </c>
      <c r="T54" s="7">
        <v>46216</v>
      </c>
      <c r="U54" s="3" t="s">
        <v>278</v>
      </c>
      <c r="V54" s="6">
        <f>IF(E54="","",IFERROR(VLOOKUP(E54,Scoring_Lookups!$A$5:$B$18,2,FALSE()),0))</f>
        <v>4</v>
      </c>
      <c r="W54" s="6">
        <f t="shared" si="8"/>
        <v>10</v>
      </c>
      <c r="X54" s="6">
        <f>IF(C54="","",IFERROR(VLOOKUP(C54,Scoring_Lookups!$D$5:$E$35,2,FALSE()),0))</f>
        <v>12</v>
      </c>
      <c r="Y54" s="6">
        <f>IF(G54="","",IFERROR(VLOOKUP(G54,Scoring_Lookups!$G$5:$H$16,2,FALSE()),0))</f>
        <v>6</v>
      </c>
      <c r="Z54" s="6">
        <f t="shared" ca="1" si="9"/>
        <v>6</v>
      </c>
      <c r="AA54" s="6">
        <f ca="1">IF(N54="Yes",0,IF(A54="",0,IF(COUNTIFS('04_Triggers'!B:B,A54,'04_Triggers'!D:D,"&gt;="&amp;(TODAY()-365))&gt;=2,20,IF(COUNTIFS('04_Triggers'!B:B,A54,'04_Triggers'!D:D,"&gt;="&amp;(TODAY()-365),'04_Triggers'!G:G,"High")&gt;=1,14,IF(COUNTIFS('04_Triggers'!B:B,A54,'04_Triggers'!D:D,"&gt;="&amp;(TODAY()-365))&gt;=1,7,IF(COUNTIFS('04_Triggers'!B:B,A54,'04_Triggers'!D:D,"&gt;="&amp;(TODAY()-1095),'04_Triggers'!D:D,"&lt;"&amp;(TODAY()-365))&gt;=1,7,0))))))</f>
        <v>7</v>
      </c>
      <c r="AB54" s="6">
        <f>IF(M54="","",IFERROR(VLOOKUP(M54,Scoring_Lookups!$J$5:$K$16,2,FALSE()),0))</f>
        <v>4</v>
      </c>
      <c r="AC54" s="6">
        <f>IF(O54="","",IFERROR(VLOOKUP(O54,Scoring_Lookups!$M$5:$N$8,2,FALSE()),0))</f>
        <v>6</v>
      </c>
      <c r="AD54" s="6">
        <f>IF(L54="","",IFERROR(VLOOKUP(L54,Scoring_Lookups!$P$5:$Q$9,2,FALSE()),0))</f>
        <v>3</v>
      </c>
      <c r="AE54" s="6">
        <f t="shared" si="10"/>
        <v>10</v>
      </c>
      <c r="AF54" s="6">
        <f t="shared" ca="1" si="11"/>
        <v>68</v>
      </c>
      <c r="AG54" s="6" t="str">
        <f t="shared" si="12"/>
        <v>OK</v>
      </c>
      <c r="AH54" s="6" t="s">
        <v>56</v>
      </c>
      <c r="AI54" s="6" t="str">
        <f t="shared" ca="1" si="13"/>
        <v>Priority 2</v>
      </c>
      <c r="AJ54" s="3" t="str">
        <f t="shared" ca="1" si="14"/>
        <v>P1 Payments=4 | P2 55=10 | P3 Romania=12 | P4 PI Licence=6 | P5 Series A=6 | P6=7 | P7 Planning to Launch (No Incumbent Yet)=4 | P8 Cloud-native (AWS/Azure/GCP), API-first, AI signals=6 | P9 No Sponsor, Licensing Suggests Imminent=3 | P10=10</v>
      </c>
      <c r="AK54" s="3"/>
      <c r="AL54" s="3" t="s">
        <v>61</v>
      </c>
      <c r="AM54" s="3" t="s">
        <v>56</v>
      </c>
      <c r="AN54" s="3"/>
      <c r="AO54" s="3" t="s">
        <v>73</v>
      </c>
      <c r="AP54" s="3" t="str">
        <f t="shared" si="15"/>
        <v>OK</v>
      </c>
      <c r="AQ54" s="3" t="s">
        <v>84</v>
      </c>
    </row>
    <row r="55" spans="1:43" ht="99.75" customHeight="1" x14ac:dyDescent="0.2">
      <c r="A55" s="3" t="s">
        <v>279</v>
      </c>
      <c r="B55" s="3" t="s">
        <v>280</v>
      </c>
      <c r="C55" s="3" t="s">
        <v>262</v>
      </c>
      <c r="D55" s="3" t="s">
        <v>134</v>
      </c>
      <c r="E55" s="3" t="s">
        <v>135</v>
      </c>
      <c r="F55" s="3">
        <v>1250</v>
      </c>
      <c r="G55" s="3" t="s">
        <v>136</v>
      </c>
      <c r="H55" s="3" t="s">
        <v>68</v>
      </c>
      <c r="I55" s="3" t="s">
        <v>69</v>
      </c>
      <c r="J55" s="3"/>
      <c r="K55" s="3" t="s">
        <v>137</v>
      </c>
      <c r="L55" s="3" t="s">
        <v>138</v>
      </c>
      <c r="M55" s="3" t="s">
        <v>130</v>
      </c>
      <c r="N55" s="3" t="s">
        <v>56</v>
      </c>
      <c r="O55" s="3" t="s">
        <v>70</v>
      </c>
      <c r="P55" s="3">
        <v>500000</v>
      </c>
      <c r="Q55" s="3">
        <v>700000</v>
      </c>
      <c r="R55" s="3" t="s">
        <v>71</v>
      </c>
      <c r="S55" s="3" t="s">
        <v>263</v>
      </c>
      <c r="T55" s="7">
        <v>46216</v>
      </c>
      <c r="U55" s="3" t="s">
        <v>281</v>
      </c>
      <c r="V55" s="6">
        <f>IF(E55="","",IFERROR(VLOOKUP(E55,Scoring_Lookups!$A$5:$B$18,2,FALSE()),0))</f>
        <v>10</v>
      </c>
      <c r="W55" s="6">
        <f t="shared" si="8"/>
        <v>7</v>
      </c>
      <c r="X55" s="6">
        <f>IF(C55="","",IFERROR(VLOOKUP(C55,Scoring_Lookups!$D$5:$E$35,2,FALSE()),0))</f>
        <v>12</v>
      </c>
      <c r="Y55" s="6">
        <f>IF(G55="","",IFERROR(VLOOKUP(G55,Scoring_Lookups!$G$5:$H$16,2,FALSE()),0))</f>
        <v>8</v>
      </c>
      <c r="Z55" s="6">
        <f t="shared" ca="1" si="9"/>
        <v>6</v>
      </c>
      <c r="AA55" s="6">
        <f ca="1">IF(N55="Yes",0,IF(A55="",0,IF(COUNTIFS('04_Triggers'!B:B,A55,'04_Triggers'!D:D,"&gt;="&amp;(TODAY()-365))&gt;=2,20,IF(COUNTIFS('04_Triggers'!B:B,A55,'04_Triggers'!D:D,"&gt;="&amp;(TODAY()-365),'04_Triggers'!G:G,"High")&gt;=1,14,IF(COUNTIFS('04_Triggers'!B:B,A55,'04_Triggers'!D:D,"&gt;="&amp;(TODAY()-365))&gt;=1,7,IF(COUNTIFS('04_Triggers'!B:B,A55,'04_Triggers'!D:D,"&gt;="&amp;(TODAY()-1095),'04_Triggers'!D:D,"&lt;"&amp;(TODAY()-365))&gt;=1,7,0))))))</f>
        <v>7</v>
      </c>
      <c r="AB55" s="6">
        <f>IF(M55="","",IFERROR(VLOOKUP(M55,Scoring_Lookups!$J$5:$K$16,2,FALSE()),0))</f>
        <v>8</v>
      </c>
      <c r="AC55" s="6">
        <f>IF(O55="","",IFERROR(VLOOKUP(O55,Scoring_Lookups!$M$5:$N$8,2,FALSE()),0))</f>
        <v>4</v>
      </c>
      <c r="AD55" s="6">
        <f>IF(L55="","",IFERROR(VLOOKUP(L55,Scoring_Lookups!$P$5:$Q$9,2,FALSE()),0))</f>
        <v>8</v>
      </c>
      <c r="AE55" s="6">
        <f t="shared" si="10"/>
        <v>10</v>
      </c>
      <c r="AF55" s="6">
        <f t="shared" ca="1" si="11"/>
        <v>80</v>
      </c>
      <c r="AG55" s="6" t="str">
        <f t="shared" si="12"/>
        <v>OK</v>
      </c>
      <c r="AH55" s="6" t="s">
        <v>56</v>
      </c>
      <c r="AI55" s="6" t="str">
        <f t="shared" ca="1" si="13"/>
        <v>Priority 1</v>
      </c>
      <c r="AJ55" s="3" t="str">
        <f t="shared" ca="1" si="14"/>
        <v>P1 Digital Banking=10 | P2 1250=7 | P3 Romania=12 | P4 Credit Institution Licence=8 | P5 Bootstrapped Profitable=6 | P6=7 | P7 In-house Legacy Processor=8 | P8 Cloud modern, Not API-first=4 | P9 Scheme Principal=8 | P10=10</v>
      </c>
      <c r="AK55" s="3"/>
      <c r="AL55" s="3" t="s">
        <v>61</v>
      </c>
      <c r="AM55" s="3" t="s">
        <v>56</v>
      </c>
      <c r="AN55" s="3"/>
      <c r="AO55" s="3" t="s">
        <v>92</v>
      </c>
      <c r="AP55" s="3" t="str">
        <f t="shared" si="15"/>
        <v>OK</v>
      </c>
      <c r="AQ55" s="4" t="s">
        <v>84</v>
      </c>
    </row>
    <row r="56" spans="1:43" ht="99.75" customHeight="1" x14ac:dyDescent="0.2">
      <c r="A56" s="3" t="s">
        <v>282</v>
      </c>
      <c r="B56" s="3" t="s">
        <v>283</v>
      </c>
      <c r="C56" s="3" t="s">
        <v>262</v>
      </c>
      <c r="D56" s="3" t="s">
        <v>134</v>
      </c>
      <c r="E56" s="3" t="s">
        <v>135</v>
      </c>
      <c r="F56" s="3">
        <v>375</v>
      </c>
      <c r="G56" s="3" t="s">
        <v>136</v>
      </c>
      <c r="H56" s="3" t="s">
        <v>68</v>
      </c>
      <c r="I56" s="3" t="s">
        <v>194</v>
      </c>
      <c r="J56" s="3"/>
      <c r="K56" s="3" t="s">
        <v>137</v>
      </c>
      <c r="L56" s="3" t="s">
        <v>138</v>
      </c>
      <c r="M56" s="3" t="s">
        <v>130</v>
      </c>
      <c r="N56" s="3" t="s">
        <v>56</v>
      </c>
      <c r="O56" s="3" t="s">
        <v>70</v>
      </c>
      <c r="P56" s="3">
        <v>100000</v>
      </c>
      <c r="Q56" s="3">
        <v>200000</v>
      </c>
      <c r="R56" s="3" t="s">
        <v>71</v>
      </c>
      <c r="S56" s="3" t="s">
        <v>263</v>
      </c>
      <c r="T56" s="7">
        <v>46216</v>
      </c>
      <c r="U56" s="3" t="s">
        <v>284</v>
      </c>
      <c r="V56" s="6">
        <f>IF(E56="","",IFERROR(VLOOKUP(E56,Scoring_Lookups!$A$5:$B$18,2,FALSE()),0))</f>
        <v>10</v>
      </c>
      <c r="W56" s="6">
        <f t="shared" si="8"/>
        <v>10</v>
      </c>
      <c r="X56" s="6">
        <f>IF(C56="","",IFERROR(VLOOKUP(C56,Scoring_Lookups!$D$5:$E$35,2,FALSE()),0))</f>
        <v>12</v>
      </c>
      <c r="Y56" s="6">
        <f>IF(G56="","",IFERROR(VLOOKUP(G56,Scoring_Lookups!$G$5:$H$16,2,FALSE()),0))</f>
        <v>8</v>
      </c>
      <c r="Z56" s="6">
        <f t="shared" ca="1" si="9"/>
        <v>3</v>
      </c>
      <c r="AA56" s="6">
        <f ca="1">IF(N56="Yes",0,IF(A56="",0,IF(COUNTIFS('04_Triggers'!B:B,A56,'04_Triggers'!D:D,"&gt;="&amp;(TODAY()-365))&gt;=2,20,IF(COUNTIFS('04_Triggers'!B:B,A56,'04_Triggers'!D:D,"&gt;="&amp;(TODAY()-365),'04_Triggers'!G:G,"High")&gt;=1,14,IF(COUNTIFS('04_Triggers'!B:B,A56,'04_Triggers'!D:D,"&gt;="&amp;(TODAY()-365))&gt;=1,7,IF(COUNTIFS('04_Triggers'!B:B,A56,'04_Triggers'!D:D,"&gt;="&amp;(TODAY()-1095),'04_Triggers'!D:D,"&lt;"&amp;(TODAY()-365))&gt;=1,7,0))))))</f>
        <v>0</v>
      </c>
      <c r="AB56" s="6">
        <f>IF(M56="","",IFERROR(VLOOKUP(M56,Scoring_Lookups!$J$5:$K$16,2,FALSE()),0))</f>
        <v>8</v>
      </c>
      <c r="AC56" s="6">
        <f>IF(O56="","",IFERROR(VLOOKUP(O56,Scoring_Lookups!$M$5:$N$8,2,FALSE()),0))</f>
        <v>4</v>
      </c>
      <c r="AD56" s="6">
        <f>IF(L56="","",IFERROR(VLOOKUP(L56,Scoring_Lookups!$P$5:$Q$9,2,FALSE()),0))</f>
        <v>8</v>
      </c>
      <c r="AE56" s="6">
        <f t="shared" si="10"/>
        <v>10</v>
      </c>
      <c r="AF56" s="6">
        <f t="shared" ca="1" si="11"/>
        <v>73</v>
      </c>
      <c r="AG56" s="6" t="str">
        <f t="shared" si="12"/>
        <v>OK</v>
      </c>
      <c r="AH56" s="6" t="s">
        <v>56</v>
      </c>
      <c r="AI56" s="6" t="str">
        <f t="shared" ca="1" si="13"/>
        <v>Priority 2</v>
      </c>
      <c r="AJ56" s="3" t="str">
        <f t="shared" ca="1" si="14"/>
        <v>P1 Digital Banking=10 | P2 375=10 | P3 Romania=12 | P4 Credit Institution Licence=8 | P5 Bootstrapped=3 | P6=0 | P7 In-house Legacy Processor=8 | P8 Cloud modern, Not API-first=4 | P9 Scheme Principal=8 | P10=10</v>
      </c>
      <c r="AK56" s="3"/>
      <c r="AL56" s="3" t="s">
        <v>61</v>
      </c>
      <c r="AM56" s="3" t="s">
        <v>56</v>
      </c>
      <c r="AN56" s="3"/>
      <c r="AO56" s="3" t="s">
        <v>92</v>
      </c>
      <c r="AP56" s="3" t="str">
        <f t="shared" si="15"/>
        <v>OK</v>
      </c>
      <c r="AQ56" s="3" t="s">
        <v>84</v>
      </c>
    </row>
    <row r="57" spans="1:43" ht="99.75" customHeight="1" x14ac:dyDescent="0.2">
      <c r="A57" s="3" t="s">
        <v>285</v>
      </c>
      <c r="B57" s="3" t="s">
        <v>286</v>
      </c>
      <c r="C57" s="3" t="s">
        <v>262</v>
      </c>
      <c r="D57" s="3" t="s">
        <v>134</v>
      </c>
      <c r="E57" s="3" t="s">
        <v>135</v>
      </c>
      <c r="F57" s="3">
        <v>800</v>
      </c>
      <c r="G57" s="3" t="s">
        <v>136</v>
      </c>
      <c r="H57" s="3" t="s">
        <v>81</v>
      </c>
      <c r="I57" s="3" t="s">
        <v>82</v>
      </c>
      <c r="J57" s="3"/>
      <c r="K57" s="3" t="s">
        <v>137</v>
      </c>
      <c r="L57" s="3" t="s">
        <v>138</v>
      </c>
      <c r="M57" s="3" t="s">
        <v>130</v>
      </c>
      <c r="N57" s="3" t="s">
        <v>56</v>
      </c>
      <c r="O57" s="3" t="s">
        <v>70</v>
      </c>
      <c r="P57" s="3">
        <v>200000</v>
      </c>
      <c r="Q57" s="3">
        <v>300000</v>
      </c>
      <c r="R57" s="3" t="s">
        <v>71</v>
      </c>
      <c r="S57" s="3" t="s">
        <v>263</v>
      </c>
      <c r="T57" s="7">
        <v>46216</v>
      </c>
      <c r="U57" s="3" t="s">
        <v>287</v>
      </c>
      <c r="V57" s="6">
        <f>IF(E57="","",IFERROR(VLOOKUP(E57,Scoring_Lookups!$A$5:$B$18,2,FALSE()),0))</f>
        <v>10</v>
      </c>
      <c r="W57" s="6">
        <f t="shared" si="8"/>
        <v>10</v>
      </c>
      <c r="X57" s="6">
        <f>IF(C57="","",IFERROR(VLOOKUP(C57,Scoring_Lookups!$D$5:$E$35,2,FALSE()),0))</f>
        <v>12</v>
      </c>
      <c r="Y57" s="6">
        <f>IF(G57="","",IFERROR(VLOOKUP(G57,Scoring_Lookups!$G$5:$H$16,2,FALSE()),0))</f>
        <v>8</v>
      </c>
      <c r="Z57" s="6">
        <f t="shared" ca="1" si="9"/>
        <v>3</v>
      </c>
      <c r="AA57" s="6">
        <f ca="1">IF(N57="Yes",0,IF(A57="",0,IF(COUNTIFS('04_Triggers'!B:B,A57,'04_Triggers'!D:D,"&gt;="&amp;(TODAY()-365))&gt;=2,20,IF(COUNTIFS('04_Triggers'!B:B,A57,'04_Triggers'!D:D,"&gt;="&amp;(TODAY()-365),'04_Triggers'!G:G,"High")&gt;=1,14,IF(COUNTIFS('04_Triggers'!B:B,A57,'04_Triggers'!D:D,"&gt;="&amp;(TODAY()-365))&gt;=1,7,IF(COUNTIFS('04_Triggers'!B:B,A57,'04_Triggers'!D:D,"&gt;="&amp;(TODAY()-1095),'04_Triggers'!D:D,"&lt;"&amp;(TODAY()-365))&gt;=1,7,0))))))</f>
        <v>7</v>
      </c>
      <c r="AB57" s="6">
        <f>IF(M57="","",IFERROR(VLOOKUP(M57,Scoring_Lookups!$J$5:$K$16,2,FALSE()),0))</f>
        <v>8</v>
      </c>
      <c r="AC57" s="6">
        <f>IF(O57="","",IFERROR(VLOOKUP(O57,Scoring_Lookups!$M$5:$N$8,2,FALSE()),0))</f>
        <v>4</v>
      </c>
      <c r="AD57" s="6">
        <f>IF(L57="","",IFERROR(VLOOKUP(L57,Scoring_Lookups!$P$5:$Q$9,2,FALSE()),0))</f>
        <v>8</v>
      </c>
      <c r="AE57" s="6">
        <f t="shared" si="10"/>
        <v>10</v>
      </c>
      <c r="AF57" s="6">
        <f t="shared" ca="1" si="11"/>
        <v>80</v>
      </c>
      <c r="AG57" s="6" t="str">
        <f t="shared" si="12"/>
        <v>OK</v>
      </c>
      <c r="AH57" s="6" t="s">
        <v>56</v>
      </c>
      <c r="AI57" s="6" t="str">
        <f t="shared" ca="1" si="13"/>
        <v>Priority 1</v>
      </c>
      <c r="AJ57" s="3" t="str">
        <f t="shared" ca="1" si="14"/>
        <v>P1 Digital Banking=10 | P2 800=10 | P3 Romania=12 | P4 Credit Institution Licence=8 | P5 Listed Stable=3 | P6=7 | P7 In-house Legacy Processor=8 | P8 Cloud modern, Not API-first=4 | P9 Scheme Principal=8 | P10=10</v>
      </c>
      <c r="AK57" s="3"/>
      <c r="AL57" s="3" t="s">
        <v>61</v>
      </c>
      <c r="AM57" s="3" t="s">
        <v>56</v>
      </c>
      <c r="AN57" s="3"/>
      <c r="AO57" s="3" t="s">
        <v>92</v>
      </c>
      <c r="AP57" s="3" t="str">
        <f t="shared" si="15"/>
        <v>OK</v>
      </c>
      <c r="AQ57" s="4" t="s">
        <v>84</v>
      </c>
    </row>
    <row r="58" spans="1:43" ht="99.75" customHeight="1" x14ac:dyDescent="0.2">
      <c r="A58" s="3" t="s">
        <v>288</v>
      </c>
      <c r="B58" s="3" t="s">
        <v>289</v>
      </c>
      <c r="C58" s="3" t="s">
        <v>262</v>
      </c>
      <c r="D58" s="3" t="s">
        <v>48</v>
      </c>
      <c r="E58" s="3" t="s">
        <v>95</v>
      </c>
      <c r="F58" s="3">
        <v>500</v>
      </c>
      <c r="G58" s="3" t="s">
        <v>67</v>
      </c>
      <c r="H58" s="3" t="s">
        <v>96</v>
      </c>
      <c r="I58" s="3" t="s">
        <v>143</v>
      </c>
      <c r="J58" s="3">
        <v>46054</v>
      </c>
      <c r="K58" s="3" t="s">
        <v>53</v>
      </c>
      <c r="L58" s="3" t="s">
        <v>77</v>
      </c>
      <c r="M58" s="3" t="s">
        <v>89</v>
      </c>
      <c r="N58" s="3" t="s">
        <v>56</v>
      </c>
      <c r="O58" s="3" t="s">
        <v>70</v>
      </c>
      <c r="P58" s="3">
        <v>200000</v>
      </c>
      <c r="Q58" s="3">
        <v>400000</v>
      </c>
      <c r="R58" s="3" t="s">
        <v>71</v>
      </c>
      <c r="S58" s="3" t="s">
        <v>263</v>
      </c>
      <c r="T58" s="7">
        <v>46216</v>
      </c>
      <c r="U58" s="3" t="s">
        <v>290</v>
      </c>
      <c r="V58" s="6">
        <f>IF(E58="","",IFERROR(VLOOKUP(E58,Scoring_Lookups!$A$5:$B$18,2,FALSE()),0))</f>
        <v>7</v>
      </c>
      <c r="W58" s="6">
        <f t="shared" si="8"/>
        <v>10</v>
      </c>
      <c r="X58" s="6">
        <f>IF(C58="","",IFERROR(VLOOKUP(C58,Scoring_Lookups!$D$5:$E$35,2,FALSE()),0))</f>
        <v>12</v>
      </c>
      <c r="Y58" s="6">
        <f>IF(G58="","",IFERROR(VLOOKUP(G58,Scoring_Lookups!$G$5:$H$16,2,FALSE()),0))</f>
        <v>6</v>
      </c>
      <c r="Z58" s="6">
        <f t="shared" ca="1" si="9"/>
        <v>8</v>
      </c>
      <c r="AA58" s="6">
        <f ca="1">IF(N58="Yes",0,IF(A58="",0,IF(COUNTIFS('04_Triggers'!B:B,A58,'04_Triggers'!D:D,"&gt;="&amp;(TODAY()-365))&gt;=2,20,IF(COUNTIFS('04_Triggers'!B:B,A58,'04_Triggers'!D:D,"&gt;="&amp;(TODAY()-365),'04_Triggers'!G:G,"High")&gt;=1,14,IF(COUNTIFS('04_Triggers'!B:B,A58,'04_Triggers'!D:D,"&gt;="&amp;(TODAY()-365))&gt;=1,7,IF(COUNTIFS('04_Triggers'!B:B,A58,'04_Triggers'!D:D,"&gt;="&amp;(TODAY()-1095),'04_Triggers'!D:D,"&lt;"&amp;(TODAY()-365))&gt;=1,7,0))))))</f>
        <v>14</v>
      </c>
      <c r="AB58" s="6">
        <f>IF(M58="","",IFERROR(VLOOKUP(M58,Scoring_Lookups!$J$5:$K$16,2,FALSE()),0))</f>
        <v>3</v>
      </c>
      <c r="AC58" s="6">
        <f>IF(O58="","",IFERROR(VLOOKUP(O58,Scoring_Lookups!$M$5:$N$8,2,FALSE()),0))</f>
        <v>4</v>
      </c>
      <c r="AD58" s="6">
        <f>IF(L58="","",IFERROR(VLOOKUP(L58,Scoring_Lookups!$P$5:$Q$9,2,FALSE()),0))</f>
        <v>8</v>
      </c>
      <c r="AE58" s="6">
        <f t="shared" si="10"/>
        <v>10</v>
      </c>
      <c r="AF58" s="6">
        <f t="shared" ca="1" si="11"/>
        <v>82</v>
      </c>
      <c r="AG58" s="6" t="str">
        <f t="shared" si="12"/>
        <v>OK</v>
      </c>
      <c r="AH58" s="6" t="s">
        <v>56</v>
      </c>
      <c r="AI58" s="6" t="str">
        <f t="shared" ca="1" si="13"/>
        <v>Priority 1</v>
      </c>
      <c r="AJ58" s="3" t="str">
        <f t="shared" ca="1" si="14"/>
        <v>P1 Lending (Consumer)=7 | P2 500=10 | P3 Romania=12 | P4 BIN Sponsor Agreement In Place=6 | P5 PE-controlled Growth Mandate=8 | P6=14 | P7 Incumbent Unknown=3 | P8 Cloud modern, Not API-first=4 | P9 Existing BIN Sponsor Relationship=8 | P10=10</v>
      </c>
      <c r="AK58" s="3"/>
      <c r="AL58" s="3" t="s">
        <v>61</v>
      </c>
      <c r="AM58" s="3" t="s">
        <v>56</v>
      </c>
      <c r="AN58" s="3"/>
      <c r="AO58" s="3" t="s">
        <v>92</v>
      </c>
      <c r="AP58" s="3" t="str">
        <f t="shared" si="15"/>
        <v>OK</v>
      </c>
      <c r="AQ58" s="3" t="s">
        <v>84</v>
      </c>
    </row>
    <row r="59" spans="1:43" ht="99.75" customHeight="1" x14ac:dyDescent="0.2">
      <c r="A59" s="3" t="s">
        <v>291</v>
      </c>
      <c r="B59" s="3" t="s">
        <v>292</v>
      </c>
      <c r="C59" s="3" t="s">
        <v>262</v>
      </c>
      <c r="D59" s="3" t="s">
        <v>48</v>
      </c>
      <c r="E59" s="3" t="s">
        <v>66</v>
      </c>
      <c r="F59" s="3">
        <v>45</v>
      </c>
      <c r="G59" s="3" t="s">
        <v>67</v>
      </c>
      <c r="H59" s="3" t="s">
        <v>68</v>
      </c>
      <c r="I59" s="3" t="s">
        <v>69</v>
      </c>
      <c r="J59" s="3"/>
      <c r="K59" s="3" t="s">
        <v>53</v>
      </c>
      <c r="L59" s="3" t="s">
        <v>54</v>
      </c>
      <c r="M59" s="3" t="s">
        <v>55</v>
      </c>
      <c r="N59" s="3" t="s">
        <v>56</v>
      </c>
      <c r="O59" s="3" t="s">
        <v>70</v>
      </c>
      <c r="P59" s="3">
        <v>0</v>
      </c>
      <c r="Q59" s="3">
        <v>30000</v>
      </c>
      <c r="R59" s="3" t="s">
        <v>58</v>
      </c>
      <c r="S59" s="3" t="s">
        <v>263</v>
      </c>
      <c r="T59" s="7">
        <v>46216</v>
      </c>
      <c r="U59" s="3" t="s">
        <v>293</v>
      </c>
      <c r="V59" s="6">
        <f>IF(E59="","",IFERROR(VLOOKUP(E59,Scoring_Lookups!$A$5:$B$18,2,FALSE()),0))</f>
        <v>7</v>
      </c>
      <c r="W59" s="6">
        <f t="shared" si="8"/>
        <v>7</v>
      </c>
      <c r="X59" s="6">
        <f>IF(C59="","",IFERROR(VLOOKUP(C59,Scoring_Lookups!$D$5:$E$35,2,FALSE()),0))</f>
        <v>12</v>
      </c>
      <c r="Y59" s="6">
        <f>IF(G59="","",IFERROR(VLOOKUP(G59,Scoring_Lookups!$G$5:$H$16,2,FALSE()),0))</f>
        <v>6</v>
      </c>
      <c r="Z59" s="6">
        <f t="shared" ca="1" si="9"/>
        <v>6</v>
      </c>
      <c r="AA59" s="6">
        <f ca="1">IF(N59="Yes",0,IF(A59="",0,IF(COUNTIFS('04_Triggers'!B:B,A59,'04_Triggers'!D:D,"&gt;="&amp;(TODAY()-365))&gt;=2,20,IF(COUNTIFS('04_Triggers'!B:B,A59,'04_Triggers'!D:D,"&gt;="&amp;(TODAY()-365),'04_Triggers'!G:G,"High")&gt;=1,14,IF(COUNTIFS('04_Triggers'!B:B,A59,'04_Triggers'!D:D,"&gt;="&amp;(TODAY()-365))&gt;=1,7,IF(COUNTIFS('04_Triggers'!B:B,A59,'04_Triggers'!D:D,"&gt;="&amp;(TODAY()-1095),'04_Triggers'!D:D,"&lt;"&amp;(TODAY()-365))&gt;=1,7,0))))))</f>
        <v>14</v>
      </c>
      <c r="AB59" s="6">
        <f>IF(M59="","",IFERROR(VLOOKUP(M59,Scoring_Lookups!$J$5:$K$16,2,FALSE()),0))</f>
        <v>4</v>
      </c>
      <c r="AC59" s="6">
        <f>IF(O59="","",IFERROR(VLOOKUP(O59,Scoring_Lookups!$M$5:$N$8,2,FALSE()),0))</f>
        <v>4</v>
      </c>
      <c r="AD59" s="6">
        <f>IF(L59="","",IFERROR(VLOOKUP(L59,Scoring_Lookups!$P$5:$Q$9,2,FALSE()),0))</f>
        <v>3</v>
      </c>
      <c r="AE59" s="6">
        <f t="shared" si="10"/>
        <v>4</v>
      </c>
      <c r="AF59" s="6">
        <f t="shared" ca="1" si="11"/>
        <v>67</v>
      </c>
      <c r="AG59" s="6" t="str">
        <f t="shared" si="12"/>
        <v>OK</v>
      </c>
      <c r="AH59" s="6" t="s">
        <v>56</v>
      </c>
      <c r="AI59" s="6" t="str">
        <f t="shared" ca="1" si="13"/>
        <v>Priority 2</v>
      </c>
      <c r="AJ59" s="3" t="str">
        <f t="shared" ca="1" si="14"/>
        <v>P1 Lending (SMB)=7 | P2 45=7 | P3 Romania=12 | P4 BIN Sponsor Agreement In Place=6 | P5 Bootstrapped Profitable=6 | P6=14 | P7 Planning to Launch (No Incumbent Yet)=4 | P8 Cloud modern, Not API-first=4 | P9 No Sponsor, Licensing Suggests Imminent=3 | P10=4</v>
      </c>
      <c r="AK59" s="3"/>
      <c r="AL59" s="3" t="s">
        <v>61</v>
      </c>
      <c r="AM59" s="3" t="s">
        <v>56</v>
      </c>
      <c r="AN59" s="3"/>
      <c r="AO59" s="3" t="s">
        <v>100</v>
      </c>
      <c r="AP59" s="3" t="str">
        <f t="shared" si="15"/>
        <v>OK</v>
      </c>
      <c r="AQ59" s="4" t="s">
        <v>63</v>
      </c>
    </row>
    <row r="60" spans="1:43" ht="99.75" customHeight="1" x14ac:dyDescent="0.2">
      <c r="A60" s="3" t="s">
        <v>294</v>
      </c>
      <c r="B60" s="3" t="s">
        <v>295</v>
      </c>
      <c r="C60" s="3" t="s">
        <v>262</v>
      </c>
      <c r="D60" s="3" t="s">
        <v>48</v>
      </c>
      <c r="E60" s="3" t="s">
        <v>49</v>
      </c>
      <c r="F60" s="3">
        <v>45</v>
      </c>
      <c r="G60" s="3" t="s">
        <v>50</v>
      </c>
      <c r="H60" s="3" t="s">
        <v>68</v>
      </c>
      <c r="I60" s="3" t="s">
        <v>69</v>
      </c>
      <c r="J60" s="3"/>
      <c r="K60" s="3" t="s">
        <v>53</v>
      </c>
      <c r="L60" s="3" t="s">
        <v>114</v>
      </c>
      <c r="M60" s="3" t="s">
        <v>55</v>
      </c>
      <c r="N60" s="3" t="s">
        <v>56</v>
      </c>
      <c r="O60" s="3" t="s">
        <v>70</v>
      </c>
      <c r="P60" s="3">
        <v>0</v>
      </c>
      <c r="Q60" s="3">
        <v>50000</v>
      </c>
      <c r="R60" s="3" t="s">
        <v>71</v>
      </c>
      <c r="S60" s="3" t="s">
        <v>263</v>
      </c>
      <c r="T60" s="7">
        <v>46216</v>
      </c>
      <c r="U60" s="3" t="s">
        <v>296</v>
      </c>
      <c r="V60" s="6">
        <f>IF(E60="","",IFERROR(VLOOKUP(E60,Scoring_Lookups!$A$5:$B$18,2,FALSE()),0))</f>
        <v>4</v>
      </c>
      <c r="W60" s="6">
        <f t="shared" si="8"/>
        <v>7</v>
      </c>
      <c r="X60" s="6">
        <f>IF(C60="","",IFERROR(VLOOKUP(C60,Scoring_Lookups!$D$5:$E$35,2,FALSE()),0))</f>
        <v>12</v>
      </c>
      <c r="Y60" s="6">
        <f>IF(G60="","",IFERROR(VLOOKUP(G60,Scoring_Lookups!$G$5:$H$16,2,FALSE()),0))</f>
        <v>6</v>
      </c>
      <c r="Z60" s="6">
        <f t="shared" ca="1" si="9"/>
        <v>6</v>
      </c>
      <c r="AA60" s="6">
        <f ca="1">IF(N60="Yes",0,IF(A60="",0,IF(COUNTIFS('04_Triggers'!B:B,A60,'04_Triggers'!D:D,"&gt;="&amp;(TODAY()-365))&gt;=2,20,IF(COUNTIFS('04_Triggers'!B:B,A60,'04_Triggers'!D:D,"&gt;="&amp;(TODAY()-365),'04_Triggers'!G:G,"High")&gt;=1,14,IF(COUNTIFS('04_Triggers'!B:B,A60,'04_Triggers'!D:D,"&gt;="&amp;(TODAY()-365))&gt;=1,7,IF(COUNTIFS('04_Triggers'!B:B,A60,'04_Triggers'!D:D,"&gt;="&amp;(TODAY()-1095),'04_Triggers'!D:D,"&lt;"&amp;(TODAY()-365))&gt;=1,7,0))))))</f>
        <v>14</v>
      </c>
      <c r="AB60" s="6">
        <f>IF(M60="","",IFERROR(VLOOKUP(M60,Scoring_Lookups!$J$5:$K$16,2,FALSE()),0))</f>
        <v>4</v>
      </c>
      <c r="AC60" s="6">
        <f>IF(O60="","",IFERROR(VLOOKUP(O60,Scoring_Lookups!$M$5:$N$8,2,FALSE()),0))</f>
        <v>4</v>
      </c>
      <c r="AD60" s="6">
        <f>IF(L60="","",IFERROR(VLOOKUP(L60,Scoring_Lookups!$P$5:$Q$9,2,FALSE()),0))</f>
        <v>6</v>
      </c>
      <c r="AE60" s="6">
        <f t="shared" si="10"/>
        <v>10</v>
      </c>
      <c r="AF60" s="6">
        <f t="shared" ca="1" si="11"/>
        <v>73</v>
      </c>
      <c r="AG60" s="6" t="str">
        <f t="shared" si="12"/>
        <v>OK</v>
      </c>
      <c r="AH60" s="6" t="s">
        <v>56</v>
      </c>
      <c r="AI60" s="6" t="str">
        <f t="shared" ca="1" si="13"/>
        <v>Priority 2</v>
      </c>
      <c r="AJ60" s="3" t="str">
        <f t="shared" ca="1" si="14"/>
        <v>P1 Payments=4 | P2 45=7 | P3 Romania=12 | P4 PI Licence=6 | P5 Bootstrapped Profitable=6 | P6=14 | P7 Planning to Launch (No Incumbent Yet)=4 | P8 Cloud modern, Not API-first=4 | P9 Scheme Participation Visible=6 | P10=10</v>
      </c>
      <c r="AK60" s="3"/>
      <c r="AL60" s="3" t="s">
        <v>61</v>
      </c>
      <c r="AM60" s="3" t="s">
        <v>56</v>
      </c>
      <c r="AN60" s="3"/>
      <c r="AO60" s="3" t="s">
        <v>100</v>
      </c>
      <c r="AP60" s="3" t="str">
        <f t="shared" si="15"/>
        <v>OK</v>
      </c>
      <c r="AQ60" s="3" t="s">
        <v>63</v>
      </c>
    </row>
    <row r="61" spans="1:43" ht="99.75" customHeight="1" x14ac:dyDescent="0.2">
      <c r="A61" s="3" t="s">
        <v>297</v>
      </c>
      <c r="B61" s="3" t="s">
        <v>298</v>
      </c>
      <c r="C61" s="3" t="s">
        <v>262</v>
      </c>
      <c r="D61" s="3" t="s">
        <v>48</v>
      </c>
      <c r="E61" s="3" t="s">
        <v>49</v>
      </c>
      <c r="F61" s="3">
        <v>40</v>
      </c>
      <c r="G61" s="3" t="s">
        <v>50</v>
      </c>
      <c r="H61" s="3" t="s">
        <v>68</v>
      </c>
      <c r="I61" s="3" t="s">
        <v>194</v>
      </c>
      <c r="J61" s="3"/>
      <c r="K61" s="3" t="s">
        <v>53</v>
      </c>
      <c r="L61" s="3" t="s">
        <v>54</v>
      </c>
      <c r="M61" s="3" t="s">
        <v>55</v>
      </c>
      <c r="N61" s="3" t="s">
        <v>56</v>
      </c>
      <c r="O61" s="3" t="s">
        <v>70</v>
      </c>
      <c r="P61" s="3">
        <v>0</v>
      </c>
      <c r="Q61" s="3">
        <v>30000</v>
      </c>
      <c r="R61" s="3" t="s">
        <v>58</v>
      </c>
      <c r="S61" s="3" t="s">
        <v>263</v>
      </c>
      <c r="T61" s="7">
        <v>46216</v>
      </c>
      <c r="U61" s="3" t="s">
        <v>299</v>
      </c>
      <c r="V61" s="6">
        <f>IF(E61="","",IFERROR(VLOOKUP(E61,Scoring_Lookups!$A$5:$B$18,2,FALSE()),0))</f>
        <v>4</v>
      </c>
      <c r="W61" s="6">
        <f t="shared" si="8"/>
        <v>7</v>
      </c>
      <c r="X61" s="6">
        <f>IF(C61="","",IFERROR(VLOOKUP(C61,Scoring_Lookups!$D$5:$E$35,2,FALSE()),0))</f>
        <v>12</v>
      </c>
      <c r="Y61" s="6">
        <f>IF(G61="","",IFERROR(VLOOKUP(G61,Scoring_Lookups!$G$5:$H$16,2,FALSE()),0))</f>
        <v>6</v>
      </c>
      <c r="Z61" s="6">
        <f t="shared" ca="1" si="9"/>
        <v>3</v>
      </c>
      <c r="AA61" s="6">
        <f ca="1">IF(N61="Yes",0,IF(A61="",0,IF(COUNTIFS('04_Triggers'!B:B,A61,'04_Triggers'!D:D,"&gt;="&amp;(TODAY()-365))&gt;=2,20,IF(COUNTIFS('04_Triggers'!B:B,A61,'04_Triggers'!D:D,"&gt;="&amp;(TODAY()-365),'04_Triggers'!G:G,"High")&gt;=1,14,IF(COUNTIFS('04_Triggers'!B:B,A61,'04_Triggers'!D:D,"&gt;="&amp;(TODAY()-365))&gt;=1,7,IF(COUNTIFS('04_Triggers'!B:B,A61,'04_Triggers'!D:D,"&gt;="&amp;(TODAY()-1095),'04_Triggers'!D:D,"&lt;"&amp;(TODAY()-365))&gt;=1,7,0))))))</f>
        <v>14</v>
      </c>
      <c r="AB61" s="6">
        <f>IF(M61="","",IFERROR(VLOOKUP(M61,Scoring_Lookups!$J$5:$K$16,2,FALSE()),0))</f>
        <v>4</v>
      </c>
      <c r="AC61" s="6">
        <f>IF(O61="","",IFERROR(VLOOKUP(O61,Scoring_Lookups!$M$5:$N$8,2,FALSE()),0))</f>
        <v>4</v>
      </c>
      <c r="AD61" s="6">
        <f>IF(L61="","",IFERROR(VLOOKUP(L61,Scoring_Lookups!$P$5:$Q$9,2,FALSE()),0))</f>
        <v>3</v>
      </c>
      <c r="AE61" s="6">
        <f t="shared" si="10"/>
        <v>4</v>
      </c>
      <c r="AF61" s="6">
        <f t="shared" ca="1" si="11"/>
        <v>61</v>
      </c>
      <c r="AG61" s="6" t="str">
        <f t="shared" si="12"/>
        <v>OK</v>
      </c>
      <c r="AH61" s="6" t="s">
        <v>56</v>
      </c>
      <c r="AI61" s="6" t="str">
        <f t="shared" ca="1" si="13"/>
        <v>Priority 2</v>
      </c>
      <c r="AJ61" s="3" t="str">
        <f t="shared" ca="1" si="14"/>
        <v>P1 Payments=4 | P2 40=7 | P3 Romania=12 | P4 PI Licence=6 | P5 Bootstrapped=3 | P6=14 | P7 Planning to Launch (No Incumbent Yet)=4 | P8 Cloud modern, Not API-first=4 | P9 No Sponsor, Licensing Suggests Imminent=3 | P10=4</v>
      </c>
      <c r="AK61" s="3"/>
      <c r="AL61" s="3" t="s">
        <v>61</v>
      </c>
      <c r="AM61" s="3" t="s">
        <v>56</v>
      </c>
      <c r="AN61" s="3"/>
      <c r="AO61" s="3" t="s">
        <v>300</v>
      </c>
      <c r="AP61" s="3" t="str">
        <f t="shared" si="15"/>
        <v>Watch</v>
      </c>
      <c r="AQ61" s="4" t="s">
        <v>84</v>
      </c>
    </row>
    <row r="62" spans="1:43" ht="99.75" customHeight="1" x14ac:dyDescent="0.2">
      <c r="A62" s="3" t="s">
        <v>301</v>
      </c>
      <c r="B62" s="3" t="s">
        <v>302</v>
      </c>
      <c r="C62" s="3" t="s">
        <v>262</v>
      </c>
      <c r="D62" s="3" t="s">
        <v>48</v>
      </c>
      <c r="E62" s="3" t="s">
        <v>49</v>
      </c>
      <c r="F62" s="3">
        <v>20</v>
      </c>
      <c r="G62" s="3" t="s">
        <v>118</v>
      </c>
      <c r="H62" s="3" t="s">
        <v>68</v>
      </c>
      <c r="I62" s="3" t="s">
        <v>194</v>
      </c>
      <c r="J62" s="3"/>
      <c r="K62" s="3" t="s">
        <v>184</v>
      </c>
      <c r="L62" s="3" t="s">
        <v>54</v>
      </c>
      <c r="M62" s="3" t="s">
        <v>186</v>
      </c>
      <c r="N62" s="3" t="s">
        <v>56</v>
      </c>
      <c r="O62" s="3" t="s">
        <v>57</v>
      </c>
      <c r="P62" s="3">
        <v>0</v>
      </c>
      <c r="Q62" s="3">
        <v>0</v>
      </c>
      <c r="R62" s="3" t="s">
        <v>56</v>
      </c>
      <c r="S62" s="3" t="s">
        <v>263</v>
      </c>
      <c r="T62" s="7">
        <v>46216</v>
      </c>
      <c r="U62" s="3" t="s">
        <v>303</v>
      </c>
      <c r="V62" s="6">
        <f>IF(E62="","",IFERROR(VLOOKUP(E62,Scoring_Lookups!$A$5:$B$18,2,FALSE()),0))</f>
        <v>4</v>
      </c>
      <c r="W62" s="6">
        <f t="shared" si="8"/>
        <v>7</v>
      </c>
      <c r="X62" s="6">
        <f>IF(C62="","",IFERROR(VLOOKUP(C62,Scoring_Lookups!$D$5:$E$35,2,FALSE()),0))</f>
        <v>12</v>
      </c>
      <c r="Y62" s="6">
        <f>IF(G62="","",IFERROR(VLOOKUP(G62,Scoring_Lookups!$G$5:$H$16,2,FALSE()),0))</f>
        <v>3</v>
      </c>
      <c r="Z62" s="6">
        <f t="shared" ca="1" si="9"/>
        <v>3</v>
      </c>
      <c r="AA62" s="6">
        <f ca="1">IF(N62="Yes",0,IF(A62="",0,IF(COUNTIFS('04_Triggers'!B:B,A62,'04_Triggers'!D:D,"&gt;="&amp;(TODAY()-365))&gt;=2,20,IF(COUNTIFS('04_Triggers'!B:B,A62,'04_Triggers'!D:D,"&gt;="&amp;(TODAY()-365),'04_Triggers'!G:G,"High")&gt;=1,14,IF(COUNTIFS('04_Triggers'!B:B,A62,'04_Triggers'!D:D,"&gt;="&amp;(TODAY()-365))&gt;=1,7,IF(COUNTIFS('04_Triggers'!B:B,A62,'04_Triggers'!D:D,"&gt;="&amp;(TODAY()-1095),'04_Triggers'!D:D,"&lt;"&amp;(TODAY()-365))&gt;=1,7,0))))))</f>
        <v>7</v>
      </c>
      <c r="AB62" s="6">
        <f>IF(M62="","",IFERROR(VLOOKUP(M62,Scoring_Lookups!$J$5:$K$16,2,FALSE()),0))</f>
        <v>0</v>
      </c>
      <c r="AC62" s="6">
        <f>IF(O62="","",IFERROR(VLOOKUP(O62,Scoring_Lookups!$M$5:$N$8,2,FALSE()),0))</f>
        <v>6</v>
      </c>
      <c r="AD62" s="6">
        <f>IF(L62="","",IFERROR(VLOOKUP(L62,Scoring_Lookups!$P$5:$Q$9,2,FALSE()),0))</f>
        <v>3</v>
      </c>
      <c r="AE62" s="6">
        <f t="shared" si="10"/>
        <v>0</v>
      </c>
      <c r="AF62" s="6">
        <f t="shared" ca="1" si="11"/>
        <v>45</v>
      </c>
      <c r="AG62" s="6" t="str">
        <f t="shared" si="12"/>
        <v>OK</v>
      </c>
      <c r="AH62" s="6" t="s">
        <v>56</v>
      </c>
      <c r="AI62" s="6" t="str">
        <f t="shared" ca="1" si="13"/>
        <v>Priority 3</v>
      </c>
      <c r="AJ62" s="3" t="str">
        <f t="shared" ca="1" si="14"/>
        <v>P1 Payments=4 | P2 20=7 | P3 Romania=12 | P4 No Licence, BIN Sponsor Engaged=3 | P5 Bootstrapped=3 | P6=7 | P7 No Card Program, No Plan=0 | P8 Cloud-native (AWS/Azure/GCP), API-first, AI signals=6 | P9 No Sponsor, Licensing Suggests Imminent=3 | P10=0</v>
      </c>
      <c r="AK62" s="3"/>
      <c r="AL62" s="3" t="s">
        <v>61</v>
      </c>
      <c r="AM62" s="3" t="s">
        <v>56</v>
      </c>
      <c r="AN62" s="3"/>
      <c r="AO62" s="3" t="s">
        <v>188</v>
      </c>
      <c r="AP62" s="3" t="str">
        <f t="shared" si="15"/>
        <v>Watch</v>
      </c>
      <c r="AQ62" s="3" t="s">
        <v>63</v>
      </c>
    </row>
    <row r="63" spans="1:43" ht="99.75" customHeight="1" x14ac:dyDescent="0.2">
      <c r="A63" s="3" t="s">
        <v>304</v>
      </c>
      <c r="B63" s="3" t="s">
        <v>305</v>
      </c>
      <c r="C63" s="3" t="s">
        <v>262</v>
      </c>
      <c r="D63" s="3" t="s">
        <v>48</v>
      </c>
      <c r="E63" s="3" t="s">
        <v>76</v>
      </c>
      <c r="F63" s="3">
        <v>14</v>
      </c>
      <c r="G63" s="3" t="s">
        <v>234</v>
      </c>
      <c r="H63" s="3" t="s">
        <v>68</v>
      </c>
      <c r="I63" s="3" t="s">
        <v>194</v>
      </c>
      <c r="J63" s="3"/>
      <c r="K63" s="3" t="s">
        <v>184</v>
      </c>
      <c r="L63" s="3" t="s">
        <v>185</v>
      </c>
      <c r="M63" s="3" t="s">
        <v>186</v>
      </c>
      <c r="N63" s="3" t="s">
        <v>56</v>
      </c>
      <c r="O63" s="3" t="s">
        <v>57</v>
      </c>
      <c r="P63" s="3">
        <v>0</v>
      </c>
      <c r="Q63" s="3">
        <v>0</v>
      </c>
      <c r="R63" s="3" t="s">
        <v>56</v>
      </c>
      <c r="S63" s="3" t="s">
        <v>263</v>
      </c>
      <c r="T63" s="7">
        <v>46216</v>
      </c>
      <c r="U63" s="3" t="s">
        <v>306</v>
      </c>
      <c r="V63" s="6">
        <f>IF(E63="","",IFERROR(VLOOKUP(E63,Scoring_Lookups!$A$5:$B$18,2,FALSE()),0))</f>
        <v>7</v>
      </c>
      <c r="W63" s="6">
        <f t="shared" si="8"/>
        <v>4</v>
      </c>
      <c r="X63" s="6">
        <f>IF(C63="","",IFERROR(VLOOKUP(C63,Scoring_Lookups!$D$5:$E$35,2,FALSE()),0))</f>
        <v>12</v>
      </c>
      <c r="Y63" s="6">
        <f>IF(G63="","",IFERROR(VLOOKUP(G63,Scoring_Lookups!$G$5:$H$16,2,FALSE()),0))</f>
        <v>3</v>
      </c>
      <c r="Z63" s="6">
        <f t="shared" ca="1" si="9"/>
        <v>3</v>
      </c>
      <c r="AA63" s="6">
        <f ca="1">IF(N63="Yes",0,IF(A63="",0,IF(COUNTIFS('04_Triggers'!B:B,A63,'04_Triggers'!D:D,"&gt;="&amp;(TODAY()-365))&gt;=2,20,IF(COUNTIFS('04_Triggers'!B:B,A63,'04_Triggers'!D:D,"&gt;="&amp;(TODAY()-365),'04_Triggers'!G:G,"High")&gt;=1,14,IF(COUNTIFS('04_Triggers'!B:B,A63,'04_Triggers'!D:D,"&gt;="&amp;(TODAY()-365))&gt;=1,7,IF(COUNTIFS('04_Triggers'!B:B,A63,'04_Triggers'!D:D,"&gt;="&amp;(TODAY()-1095),'04_Triggers'!D:D,"&lt;"&amp;(TODAY()-365))&gt;=1,7,0))))))</f>
        <v>0</v>
      </c>
      <c r="AB63" s="6">
        <f>IF(M63="","",IFERROR(VLOOKUP(M63,Scoring_Lookups!$J$5:$K$16,2,FALSE()),0))</f>
        <v>0</v>
      </c>
      <c r="AC63" s="6">
        <f>IF(O63="","",IFERROR(VLOOKUP(O63,Scoring_Lookups!$M$5:$N$8,2,FALSE()),0))</f>
        <v>6</v>
      </c>
      <c r="AD63" s="6">
        <f>IF(L63="","",IFERROR(VLOOKUP(L63,Scoring_Lookups!$P$5:$Q$9,2,FALSE()),0))</f>
        <v>0</v>
      </c>
      <c r="AE63" s="6">
        <f t="shared" si="10"/>
        <v>0</v>
      </c>
      <c r="AF63" s="6">
        <f t="shared" ca="1" si="11"/>
        <v>35</v>
      </c>
      <c r="AG63" s="6" t="str">
        <f t="shared" si="12"/>
        <v>OK</v>
      </c>
      <c r="AH63" s="6" t="s">
        <v>56</v>
      </c>
      <c r="AI63" s="6" t="str">
        <f t="shared" ca="1" si="13"/>
        <v>Disqualified</v>
      </c>
      <c r="AJ63" s="3" t="str">
        <f t="shared" ca="1" si="14"/>
        <v>P1 BaaS=7 | P2 14=4 | P3 Romania=12 | P4 Secondary Regime=3 | P5 Bootstrapped=3 | P6=0 | P7 No Card Program, No Plan=0 | P8 Cloud-native (AWS/Azure/GCP), API-first, AI signals=6 | P9 No Scheme Participation Path=0 | P10=0</v>
      </c>
      <c r="AK63" s="3"/>
      <c r="AL63" s="3" t="s">
        <v>61</v>
      </c>
      <c r="AM63" s="3" t="s">
        <v>56</v>
      </c>
      <c r="AN63" s="3"/>
      <c r="AO63" s="3" t="s">
        <v>188</v>
      </c>
      <c r="AP63" s="3" t="str">
        <f t="shared" si="15"/>
        <v>Watch</v>
      </c>
      <c r="AQ63" s="4" t="s">
        <v>63</v>
      </c>
    </row>
    <row r="64" spans="1:43" ht="99.75" customHeight="1" x14ac:dyDescent="0.2">
      <c r="A64" s="3" t="s">
        <v>307</v>
      </c>
      <c r="B64" s="3" t="s">
        <v>308</v>
      </c>
      <c r="C64" s="3" t="s">
        <v>262</v>
      </c>
      <c r="D64" s="3" t="s">
        <v>48</v>
      </c>
      <c r="E64" s="3" t="s">
        <v>128</v>
      </c>
      <c r="F64" s="3">
        <v>35</v>
      </c>
      <c r="G64" s="3" t="s">
        <v>234</v>
      </c>
      <c r="H64" s="3" t="s">
        <v>68</v>
      </c>
      <c r="I64" s="3" t="s">
        <v>194</v>
      </c>
      <c r="J64" s="3"/>
      <c r="K64" s="3" t="s">
        <v>184</v>
      </c>
      <c r="L64" s="3" t="s">
        <v>54</v>
      </c>
      <c r="M64" s="3" t="s">
        <v>186</v>
      </c>
      <c r="N64" s="3" t="s">
        <v>56</v>
      </c>
      <c r="O64" s="3" t="s">
        <v>57</v>
      </c>
      <c r="P64" s="3">
        <v>0</v>
      </c>
      <c r="Q64" s="3">
        <v>0</v>
      </c>
      <c r="R64" s="3" t="s">
        <v>58</v>
      </c>
      <c r="S64" s="3" t="s">
        <v>263</v>
      </c>
      <c r="T64" s="7">
        <v>46216</v>
      </c>
      <c r="U64" s="3" t="s">
        <v>309</v>
      </c>
      <c r="V64" s="6">
        <f>IF(E64="","",IFERROR(VLOOKUP(E64,Scoring_Lookups!$A$5:$B$18,2,FALSE()),0))</f>
        <v>4</v>
      </c>
      <c r="W64" s="6">
        <f t="shared" si="8"/>
        <v>7</v>
      </c>
      <c r="X64" s="6">
        <f>IF(C64="","",IFERROR(VLOOKUP(C64,Scoring_Lookups!$D$5:$E$35,2,FALSE()),0))</f>
        <v>12</v>
      </c>
      <c r="Y64" s="6">
        <f>IF(G64="","",IFERROR(VLOOKUP(G64,Scoring_Lookups!$G$5:$H$16,2,FALSE()),0))</f>
        <v>3</v>
      </c>
      <c r="Z64" s="6">
        <f t="shared" ca="1" si="9"/>
        <v>3</v>
      </c>
      <c r="AA64" s="6">
        <f ca="1">IF(N64="Yes",0,IF(A64="",0,IF(COUNTIFS('04_Triggers'!B:B,A64,'04_Triggers'!D:D,"&gt;="&amp;(TODAY()-365))&gt;=2,20,IF(COUNTIFS('04_Triggers'!B:B,A64,'04_Triggers'!D:D,"&gt;="&amp;(TODAY()-365),'04_Triggers'!G:G,"High")&gt;=1,14,IF(COUNTIFS('04_Triggers'!B:B,A64,'04_Triggers'!D:D,"&gt;="&amp;(TODAY()-365))&gt;=1,7,IF(COUNTIFS('04_Triggers'!B:B,A64,'04_Triggers'!D:D,"&gt;="&amp;(TODAY()-1095),'04_Triggers'!D:D,"&lt;"&amp;(TODAY()-365))&gt;=1,7,0))))))</f>
        <v>7</v>
      </c>
      <c r="AB64" s="6">
        <f>IF(M64="","",IFERROR(VLOOKUP(M64,Scoring_Lookups!$J$5:$K$16,2,FALSE()),0))</f>
        <v>0</v>
      </c>
      <c r="AC64" s="6">
        <f>IF(O64="","",IFERROR(VLOOKUP(O64,Scoring_Lookups!$M$5:$N$8,2,FALSE()),0))</f>
        <v>6</v>
      </c>
      <c r="AD64" s="6">
        <f>IF(L64="","",IFERROR(VLOOKUP(L64,Scoring_Lookups!$P$5:$Q$9,2,FALSE()),0))</f>
        <v>3</v>
      </c>
      <c r="AE64" s="6">
        <f t="shared" si="10"/>
        <v>0</v>
      </c>
      <c r="AF64" s="6">
        <f t="shared" ca="1" si="11"/>
        <v>45</v>
      </c>
      <c r="AG64" s="6" t="str">
        <f t="shared" si="12"/>
        <v>OK</v>
      </c>
      <c r="AH64" s="6" t="s">
        <v>56</v>
      </c>
      <c r="AI64" s="6" t="str">
        <f t="shared" ca="1" si="13"/>
        <v>Priority 3</v>
      </c>
      <c r="AJ64" s="3" t="str">
        <f t="shared" ca="1" si="14"/>
        <v>P1 Investment Management=4 | P2 35=7 | P3 Romania=12 | P4 Secondary Regime=3 | P5 Bootstrapped=3 | P6=7 | P7 No Card Program, No Plan=0 | P8 Cloud-native (AWS/Azure/GCP), API-first, AI signals=6 | P9 No Sponsor, Licensing Suggests Imminent=3 | P10=0</v>
      </c>
      <c r="AK64" s="3"/>
      <c r="AL64" s="3" t="s">
        <v>61</v>
      </c>
      <c r="AM64" s="3" t="s">
        <v>56</v>
      </c>
      <c r="AN64" s="3"/>
      <c r="AO64" s="3" t="s">
        <v>188</v>
      </c>
      <c r="AP64" s="3" t="str">
        <f t="shared" si="15"/>
        <v>Watch</v>
      </c>
      <c r="AQ64" s="3" t="s">
        <v>63</v>
      </c>
    </row>
    <row r="65" spans="1:43" ht="99.75" customHeight="1" x14ac:dyDescent="0.2">
      <c r="A65" s="3" t="s">
        <v>310</v>
      </c>
      <c r="B65" s="3" t="s">
        <v>311</v>
      </c>
      <c r="C65" s="3" t="s">
        <v>262</v>
      </c>
      <c r="D65" s="3" t="s">
        <v>48</v>
      </c>
      <c r="E65" s="3" t="s">
        <v>95</v>
      </c>
      <c r="F65" s="3">
        <v>55</v>
      </c>
      <c r="G65" s="3" t="s">
        <v>67</v>
      </c>
      <c r="H65" s="3" t="s">
        <v>68</v>
      </c>
      <c r="I65" s="3" t="s">
        <v>69</v>
      </c>
      <c r="J65" s="3"/>
      <c r="K65" s="3" t="s">
        <v>53</v>
      </c>
      <c r="L65" s="3" t="s">
        <v>54</v>
      </c>
      <c r="M65" s="3" t="s">
        <v>186</v>
      </c>
      <c r="N65" s="3" t="s">
        <v>56</v>
      </c>
      <c r="O65" s="3" t="s">
        <v>70</v>
      </c>
      <c r="P65" s="3">
        <v>0</v>
      </c>
      <c r="Q65" s="3">
        <v>20000</v>
      </c>
      <c r="R65" s="3" t="s">
        <v>58</v>
      </c>
      <c r="S65" s="3" t="s">
        <v>263</v>
      </c>
      <c r="T65" s="7">
        <v>46216</v>
      </c>
      <c r="U65" s="3" t="s">
        <v>312</v>
      </c>
      <c r="V65" s="6">
        <f>IF(E65="","",IFERROR(VLOOKUP(E65,Scoring_Lookups!$A$5:$B$18,2,FALSE()),0))</f>
        <v>7</v>
      </c>
      <c r="W65" s="6">
        <f t="shared" si="8"/>
        <v>10</v>
      </c>
      <c r="X65" s="6">
        <f>IF(C65="","",IFERROR(VLOOKUP(C65,Scoring_Lookups!$D$5:$E$35,2,FALSE()),0))</f>
        <v>12</v>
      </c>
      <c r="Y65" s="6">
        <f>IF(G65="","",IFERROR(VLOOKUP(G65,Scoring_Lookups!$G$5:$H$16,2,FALSE()),0))</f>
        <v>6</v>
      </c>
      <c r="Z65" s="6">
        <f t="shared" ca="1" si="9"/>
        <v>6</v>
      </c>
      <c r="AA65" s="6">
        <f ca="1">IF(N65="Yes",0,IF(A65="",0,IF(COUNTIFS('04_Triggers'!B:B,A65,'04_Triggers'!D:D,"&gt;="&amp;(TODAY()-365))&gt;=2,20,IF(COUNTIFS('04_Triggers'!B:B,A65,'04_Triggers'!D:D,"&gt;="&amp;(TODAY()-365),'04_Triggers'!G:G,"High")&gt;=1,14,IF(COUNTIFS('04_Triggers'!B:B,A65,'04_Triggers'!D:D,"&gt;="&amp;(TODAY()-365))&gt;=1,7,IF(COUNTIFS('04_Triggers'!B:B,A65,'04_Triggers'!D:D,"&gt;="&amp;(TODAY()-1095),'04_Triggers'!D:D,"&lt;"&amp;(TODAY()-365))&gt;=1,7,0))))))</f>
        <v>7</v>
      </c>
      <c r="AB65" s="6">
        <f>IF(M65="","",IFERROR(VLOOKUP(M65,Scoring_Lookups!$J$5:$K$16,2,FALSE()),0))</f>
        <v>0</v>
      </c>
      <c r="AC65" s="6">
        <f>IF(O65="","",IFERROR(VLOOKUP(O65,Scoring_Lookups!$M$5:$N$8,2,FALSE()),0))</f>
        <v>4</v>
      </c>
      <c r="AD65" s="6">
        <f>IF(L65="","",IFERROR(VLOOKUP(L65,Scoring_Lookups!$P$5:$Q$9,2,FALSE()),0))</f>
        <v>3</v>
      </c>
      <c r="AE65" s="6">
        <f t="shared" si="10"/>
        <v>4</v>
      </c>
      <c r="AF65" s="6">
        <f t="shared" ca="1" si="11"/>
        <v>59</v>
      </c>
      <c r="AG65" s="6" t="str">
        <f t="shared" si="12"/>
        <v>OK</v>
      </c>
      <c r="AH65" s="6" t="s">
        <v>56</v>
      </c>
      <c r="AI65" s="6" t="str">
        <f t="shared" ca="1" si="13"/>
        <v>Priority 3</v>
      </c>
      <c r="AJ65" s="3" t="str">
        <f t="shared" ca="1" si="14"/>
        <v>P1 Lending (Consumer)=7 | P2 55=10 | P3 Romania=12 | P4 BIN Sponsor Agreement In Place=6 | P5 Bootstrapped Profitable=6 | P6=7 | P7 No Card Program, No Plan=0 | P8 Cloud modern, Not API-first=4 | P9 No Sponsor, Licensing Suggests Imminent=3 | P10=4</v>
      </c>
      <c r="AK65" s="3"/>
      <c r="AL65" s="3" t="s">
        <v>61</v>
      </c>
      <c r="AM65" s="3" t="s">
        <v>56</v>
      </c>
      <c r="AN65" s="3"/>
      <c r="AO65" s="3" t="s">
        <v>188</v>
      </c>
      <c r="AP65" s="3" t="str">
        <f t="shared" si="15"/>
        <v>Watch</v>
      </c>
      <c r="AQ65" s="4" t="s">
        <v>84</v>
      </c>
    </row>
    <row r="66" spans="1:43" ht="99.75" customHeight="1" x14ac:dyDescent="0.2">
      <c r="A66" s="3" t="s">
        <v>313</v>
      </c>
      <c r="B66" s="3" t="s">
        <v>314</v>
      </c>
      <c r="C66" s="3" t="s">
        <v>262</v>
      </c>
      <c r="D66" s="3" t="s">
        <v>180</v>
      </c>
      <c r="E66" s="3" t="s">
        <v>315</v>
      </c>
      <c r="F66" s="3">
        <v>225</v>
      </c>
      <c r="G66" s="3" t="s">
        <v>175</v>
      </c>
      <c r="H66" s="3" t="s">
        <v>96</v>
      </c>
      <c r="I66" s="3" t="s">
        <v>97</v>
      </c>
      <c r="J66" s="3"/>
      <c r="K66" s="3" t="s">
        <v>53</v>
      </c>
      <c r="L66" s="3" t="s">
        <v>77</v>
      </c>
      <c r="M66" s="3" t="s">
        <v>89</v>
      </c>
      <c r="N66" s="3" t="s">
        <v>56</v>
      </c>
      <c r="O66" s="3" t="s">
        <v>70</v>
      </c>
      <c r="P66" s="3">
        <v>300000</v>
      </c>
      <c r="Q66" s="3">
        <v>400000</v>
      </c>
      <c r="R66" s="3" t="s">
        <v>56</v>
      </c>
      <c r="S66" s="3" t="s">
        <v>263</v>
      </c>
      <c r="T66" s="7">
        <v>46216</v>
      </c>
      <c r="U66" s="3" t="s">
        <v>316</v>
      </c>
      <c r="V66" s="6">
        <f>IF(E66="","",IFERROR(VLOOKUP(E66,Scoring_Lookups!$A$5:$B$18,2,FALSE()),0))</f>
        <v>4</v>
      </c>
      <c r="W66" s="6">
        <f t="shared" si="8"/>
        <v>10</v>
      </c>
      <c r="X66" s="6">
        <f>IF(C66="","",IFERROR(VLOOKUP(C66,Scoring_Lookups!$D$5:$E$35,2,FALSE()),0))</f>
        <v>12</v>
      </c>
      <c r="Y66" s="6">
        <f>IF(G66="","",IFERROR(VLOOKUP(G66,Scoring_Lookups!$G$5:$H$16,2,FALSE()),0))</f>
        <v>8</v>
      </c>
      <c r="Z66" s="6">
        <f t="shared" ca="1" si="9"/>
        <v>6</v>
      </c>
      <c r="AA66" s="6">
        <f ca="1">IF(N66="Yes",0,IF(A66="",0,IF(COUNTIFS('04_Triggers'!B:B,A66,'04_Triggers'!D:D,"&gt;="&amp;(TODAY()-365))&gt;=2,20,IF(COUNTIFS('04_Triggers'!B:B,A66,'04_Triggers'!D:D,"&gt;="&amp;(TODAY()-365),'04_Triggers'!G:G,"High")&gt;=1,14,IF(COUNTIFS('04_Triggers'!B:B,A66,'04_Triggers'!D:D,"&gt;="&amp;(TODAY()-365))&gt;=1,7,IF(COUNTIFS('04_Triggers'!B:B,A66,'04_Triggers'!D:D,"&gt;="&amp;(TODAY()-1095),'04_Triggers'!D:D,"&lt;"&amp;(TODAY()-365))&gt;=1,7,0))))))</f>
        <v>0</v>
      </c>
      <c r="AB66" s="6">
        <f>IF(M66="","",IFERROR(VLOOKUP(M66,Scoring_Lookups!$J$5:$K$16,2,FALSE()),0))</f>
        <v>3</v>
      </c>
      <c r="AC66" s="6">
        <f>IF(O66="","",IFERROR(VLOOKUP(O66,Scoring_Lookups!$M$5:$N$8,2,FALSE()),0))</f>
        <v>4</v>
      </c>
      <c r="AD66" s="6">
        <f>IF(L66="","",IFERROR(VLOOKUP(L66,Scoring_Lookups!$P$5:$Q$9,2,FALSE()),0))</f>
        <v>8</v>
      </c>
      <c r="AE66" s="6">
        <f t="shared" si="10"/>
        <v>7</v>
      </c>
      <c r="AF66" s="6">
        <f t="shared" ca="1" si="11"/>
        <v>62</v>
      </c>
      <c r="AG66" s="6" t="str">
        <f t="shared" si="12"/>
        <v>OK</v>
      </c>
      <c r="AH66" s="6" t="s">
        <v>56</v>
      </c>
      <c r="AI66" s="6" t="str">
        <f t="shared" ca="1" si="13"/>
        <v>Priority 2</v>
      </c>
      <c r="AJ66" s="3" t="str">
        <f t="shared" ca="1" si="14"/>
        <v>P1 Gift Card=4 | P2 225=10 | P3 Romania=12 | P4 EMI Licence=8 | P5 PE-controlled Stable=6 | P6=0 | P7 Incumbent Unknown=3 | P8 Cloud modern, Not API-first=4 | P9 Existing BIN Sponsor Relationship=8 | P10=7</v>
      </c>
      <c r="AK66" s="3"/>
      <c r="AL66" s="3" t="s">
        <v>61</v>
      </c>
      <c r="AM66" s="3" t="s">
        <v>56</v>
      </c>
      <c r="AN66" s="3"/>
      <c r="AO66" s="3" t="s">
        <v>92</v>
      </c>
      <c r="AP66" s="3" t="str">
        <f t="shared" si="15"/>
        <v>OK</v>
      </c>
      <c r="AQ66" s="3" t="s">
        <v>63</v>
      </c>
    </row>
    <row r="67" spans="1:43" ht="99.75" customHeight="1" x14ac:dyDescent="0.2">
      <c r="A67" s="3" t="s">
        <v>317</v>
      </c>
      <c r="B67" s="3" t="s">
        <v>318</v>
      </c>
      <c r="C67" s="3" t="s">
        <v>262</v>
      </c>
      <c r="D67" s="3" t="s">
        <v>180</v>
      </c>
      <c r="E67" s="3" t="s">
        <v>315</v>
      </c>
      <c r="F67" s="3">
        <v>275</v>
      </c>
      <c r="G67" s="3" t="s">
        <v>175</v>
      </c>
      <c r="H67" s="3" t="s">
        <v>81</v>
      </c>
      <c r="I67" s="3" t="s">
        <v>82</v>
      </c>
      <c r="J67" s="3"/>
      <c r="K67" s="3" t="s">
        <v>53</v>
      </c>
      <c r="L67" s="3" t="s">
        <v>77</v>
      </c>
      <c r="M67" s="3" t="s">
        <v>89</v>
      </c>
      <c r="N67" s="3" t="s">
        <v>56</v>
      </c>
      <c r="O67" s="3" t="s">
        <v>70</v>
      </c>
      <c r="P67" s="3">
        <v>400000</v>
      </c>
      <c r="Q67" s="3">
        <v>500000</v>
      </c>
      <c r="R67" s="3" t="s">
        <v>56</v>
      </c>
      <c r="S67" s="3" t="s">
        <v>263</v>
      </c>
      <c r="T67" s="7">
        <v>46216</v>
      </c>
      <c r="U67" s="3" t="s">
        <v>319</v>
      </c>
      <c r="V67" s="6">
        <f>IF(E67="","",IFERROR(VLOOKUP(E67,Scoring_Lookups!$A$5:$B$18,2,FALSE()),0))</f>
        <v>4</v>
      </c>
      <c r="W67" s="6">
        <f t="shared" si="8"/>
        <v>10</v>
      </c>
      <c r="X67" s="6">
        <f>IF(C67="","",IFERROR(VLOOKUP(C67,Scoring_Lookups!$D$5:$E$35,2,FALSE()),0))</f>
        <v>12</v>
      </c>
      <c r="Y67" s="6">
        <f>IF(G67="","",IFERROR(VLOOKUP(G67,Scoring_Lookups!$G$5:$H$16,2,FALSE()),0))</f>
        <v>8</v>
      </c>
      <c r="Z67" s="6">
        <f t="shared" ca="1" si="9"/>
        <v>3</v>
      </c>
      <c r="AA67" s="6">
        <f ca="1">IF(N67="Yes",0,IF(A67="",0,IF(COUNTIFS('04_Triggers'!B:B,A67,'04_Triggers'!D:D,"&gt;="&amp;(TODAY()-365))&gt;=2,20,IF(COUNTIFS('04_Triggers'!B:B,A67,'04_Triggers'!D:D,"&gt;="&amp;(TODAY()-365),'04_Triggers'!G:G,"High")&gt;=1,14,IF(COUNTIFS('04_Triggers'!B:B,A67,'04_Triggers'!D:D,"&gt;="&amp;(TODAY()-365))&gt;=1,7,IF(COUNTIFS('04_Triggers'!B:B,A67,'04_Triggers'!D:D,"&gt;="&amp;(TODAY()-1095),'04_Triggers'!D:D,"&lt;"&amp;(TODAY()-365))&gt;=1,7,0))))))</f>
        <v>0</v>
      </c>
      <c r="AB67" s="6">
        <f>IF(M67="","",IFERROR(VLOOKUP(M67,Scoring_Lookups!$J$5:$K$16,2,FALSE()),0))</f>
        <v>3</v>
      </c>
      <c r="AC67" s="6">
        <f>IF(O67="","",IFERROR(VLOOKUP(O67,Scoring_Lookups!$M$5:$N$8,2,FALSE()),0))</f>
        <v>4</v>
      </c>
      <c r="AD67" s="6">
        <f>IF(L67="","",IFERROR(VLOOKUP(L67,Scoring_Lookups!$P$5:$Q$9,2,FALSE()),0))</f>
        <v>8</v>
      </c>
      <c r="AE67" s="6">
        <f t="shared" si="10"/>
        <v>10</v>
      </c>
      <c r="AF67" s="6">
        <f t="shared" ca="1" si="11"/>
        <v>62</v>
      </c>
      <c r="AG67" s="6" t="str">
        <f t="shared" si="12"/>
        <v>OK</v>
      </c>
      <c r="AH67" s="6" t="s">
        <v>56</v>
      </c>
      <c r="AI67" s="6" t="str">
        <f t="shared" ca="1" si="13"/>
        <v>Priority 2</v>
      </c>
      <c r="AJ67" s="3" t="str">
        <f t="shared" ca="1" si="14"/>
        <v>P1 Gift Card=4 | P2 275=10 | P3 Romania=12 | P4 EMI Licence=8 | P5 Listed Stable=3 | P6=0 | P7 Incumbent Unknown=3 | P8 Cloud modern, Not API-first=4 | P9 Existing BIN Sponsor Relationship=8 | P10=10</v>
      </c>
      <c r="AK67" s="3"/>
      <c r="AL67" s="3" t="s">
        <v>61</v>
      </c>
      <c r="AM67" s="3" t="s">
        <v>56</v>
      </c>
      <c r="AN67" s="3"/>
      <c r="AO67" s="3" t="s">
        <v>92</v>
      </c>
      <c r="AP67" s="3" t="str">
        <f t="shared" si="15"/>
        <v>OK</v>
      </c>
      <c r="AQ67" s="4" t="s">
        <v>63</v>
      </c>
    </row>
    <row r="68" spans="1:43" ht="99.75" customHeight="1" x14ac:dyDescent="0.2">
      <c r="A68" s="3" t="s">
        <v>320</v>
      </c>
      <c r="B68" s="3" t="s">
        <v>321</v>
      </c>
      <c r="C68" s="3" t="s">
        <v>262</v>
      </c>
      <c r="D68" s="3" t="s">
        <v>180</v>
      </c>
      <c r="E68" s="3" t="s">
        <v>315</v>
      </c>
      <c r="F68" s="3">
        <v>275</v>
      </c>
      <c r="G68" s="3" t="s">
        <v>175</v>
      </c>
      <c r="H68" s="3" t="s">
        <v>81</v>
      </c>
      <c r="I68" s="3" t="s">
        <v>322</v>
      </c>
      <c r="J68" s="3"/>
      <c r="K68" s="3" t="s">
        <v>53</v>
      </c>
      <c r="L68" s="3" t="s">
        <v>77</v>
      </c>
      <c r="M68" s="3" t="s">
        <v>89</v>
      </c>
      <c r="N68" s="3" t="s">
        <v>56</v>
      </c>
      <c r="O68" s="3" t="s">
        <v>70</v>
      </c>
      <c r="P68" s="3">
        <v>400000</v>
      </c>
      <c r="Q68" s="3">
        <v>500000</v>
      </c>
      <c r="R68" s="3" t="s">
        <v>56</v>
      </c>
      <c r="S68" s="3" t="s">
        <v>263</v>
      </c>
      <c r="T68" s="7">
        <v>46216</v>
      </c>
      <c r="U68" s="3" t="s">
        <v>323</v>
      </c>
      <c r="V68" s="6">
        <f>IF(E68="","",IFERROR(VLOOKUP(E68,Scoring_Lookups!$A$5:$B$18,2,FALSE()),0))</f>
        <v>4</v>
      </c>
      <c r="W68" s="6">
        <f t="shared" si="8"/>
        <v>10</v>
      </c>
      <c r="X68" s="6">
        <f>IF(C68="","",IFERROR(VLOOKUP(C68,Scoring_Lookups!$D$5:$E$35,2,FALSE()),0))</f>
        <v>12</v>
      </c>
      <c r="Y68" s="6">
        <f>IF(G68="","",IFERROR(VLOOKUP(G68,Scoring_Lookups!$G$5:$H$16,2,FALSE()),0))</f>
        <v>8</v>
      </c>
      <c r="Z68" s="6">
        <f t="shared" ca="1" si="9"/>
        <v>8</v>
      </c>
      <c r="AA68" s="6">
        <f ca="1">IF(N68="Yes",0,IF(A68="",0,IF(COUNTIFS('04_Triggers'!B:B,A68,'04_Triggers'!D:D,"&gt;="&amp;(TODAY()-365))&gt;=2,20,IF(COUNTIFS('04_Triggers'!B:B,A68,'04_Triggers'!D:D,"&gt;="&amp;(TODAY()-365),'04_Triggers'!G:G,"High")&gt;=1,14,IF(COUNTIFS('04_Triggers'!B:B,A68,'04_Triggers'!D:D,"&gt;="&amp;(TODAY()-365))&gt;=1,7,IF(COUNTIFS('04_Triggers'!B:B,A68,'04_Triggers'!D:D,"&gt;="&amp;(TODAY()-1095),'04_Triggers'!D:D,"&lt;"&amp;(TODAY()-365))&gt;=1,7,0))))))</f>
        <v>7</v>
      </c>
      <c r="AB68" s="6">
        <f>IF(M68="","",IFERROR(VLOOKUP(M68,Scoring_Lookups!$J$5:$K$16,2,FALSE()),0))</f>
        <v>3</v>
      </c>
      <c r="AC68" s="6">
        <f>IF(O68="","",IFERROR(VLOOKUP(O68,Scoring_Lookups!$M$5:$N$8,2,FALSE()),0))</f>
        <v>4</v>
      </c>
      <c r="AD68" s="6">
        <f>IF(L68="","",IFERROR(VLOOKUP(L68,Scoring_Lookups!$P$5:$Q$9,2,FALSE()),0))</f>
        <v>8</v>
      </c>
      <c r="AE68" s="6">
        <f t="shared" si="10"/>
        <v>10</v>
      </c>
      <c r="AF68" s="6">
        <f t="shared" ca="1" si="11"/>
        <v>74</v>
      </c>
      <c r="AG68" s="6" t="str">
        <f t="shared" si="12"/>
        <v>OK</v>
      </c>
      <c r="AH68" s="6" t="s">
        <v>56</v>
      </c>
      <c r="AI68" s="6" t="str">
        <f t="shared" ca="1" si="13"/>
        <v>Priority 2</v>
      </c>
      <c r="AJ68" s="3" t="str">
        <f t="shared" ca="1" si="14"/>
        <v>P1 Gift Card=4 | P2 275=10 | P3 Romania=12 | P4 EMI Licence=8 | P5 Listed with Growth Profile=8 | P6=7 | P7 Incumbent Unknown=3 | P8 Cloud modern, Not API-first=4 | P9 Existing BIN Sponsor Relationship=8 | P10=10</v>
      </c>
      <c r="AK68" s="3"/>
      <c r="AL68" s="3" t="s">
        <v>61</v>
      </c>
      <c r="AM68" s="3" t="s">
        <v>56</v>
      </c>
      <c r="AN68" s="3"/>
      <c r="AO68" s="3" t="s">
        <v>92</v>
      </c>
      <c r="AP68" s="3" t="str">
        <f t="shared" si="15"/>
        <v>OK</v>
      </c>
      <c r="AQ68" s="3" t="s">
        <v>63</v>
      </c>
    </row>
    <row r="69" spans="1:43" ht="99.75" customHeight="1" x14ac:dyDescent="0.2">
      <c r="A69" s="3" t="s">
        <v>324</v>
      </c>
      <c r="B69" s="3" t="s">
        <v>325</v>
      </c>
      <c r="C69" s="3" t="s">
        <v>262</v>
      </c>
      <c r="D69" s="3" t="s">
        <v>48</v>
      </c>
      <c r="E69" s="3" t="s">
        <v>49</v>
      </c>
      <c r="F69" s="3">
        <v>200</v>
      </c>
      <c r="G69" s="3" t="s">
        <v>50</v>
      </c>
      <c r="H69" s="3" t="s">
        <v>68</v>
      </c>
      <c r="I69" s="3" t="s">
        <v>69</v>
      </c>
      <c r="J69" s="3"/>
      <c r="K69" s="3" t="s">
        <v>53</v>
      </c>
      <c r="L69" s="3" t="s">
        <v>114</v>
      </c>
      <c r="M69" s="3" t="s">
        <v>186</v>
      </c>
      <c r="N69" s="3" t="s">
        <v>56</v>
      </c>
      <c r="O69" s="3" t="s">
        <v>70</v>
      </c>
      <c r="P69" s="3">
        <v>0</v>
      </c>
      <c r="Q69" s="3">
        <v>50000</v>
      </c>
      <c r="R69" s="3" t="s">
        <v>56</v>
      </c>
      <c r="S69" s="3" t="s">
        <v>263</v>
      </c>
      <c r="T69" s="7">
        <v>46216</v>
      </c>
      <c r="U69" s="3" t="s">
        <v>326</v>
      </c>
      <c r="V69" s="6">
        <f>IF(E69="","",IFERROR(VLOOKUP(E69,Scoring_Lookups!$A$5:$B$18,2,FALSE()),0))</f>
        <v>4</v>
      </c>
      <c r="W69" s="6">
        <f t="shared" ref="W69:W100" si="16">IF(F69="","",IF(AND(F69&gt;=50,F69&lt;=1000),10,IF(OR(AND(F69&gt;=20,F69&lt;=49),AND(F69&gt;=1001,F69&lt;=2000)),7,IF(OR(AND(F69&gt;=10,F69&lt;=19),AND(F69&gt;=2001,F69&lt;=5000)),4,0))))</f>
        <v>10</v>
      </c>
      <c r="X69" s="6">
        <f>IF(C69="","",IFERROR(VLOOKUP(C69,Scoring_Lookups!$D$5:$E$35,2,FALSE()),0))</f>
        <v>12</v>
      </c>
      <c r="Y69" s="6">
        <f>IF(G69="","",IFERROR(VLOOKUP(G69,Scoring_Lookups!$G$5:$H$16,2,FALSE()),0))</f>
        <v>6</v>
      </c>
      <c r="Z69" s="6">
        <f t="shared" ref="Z69:Z100" ca="1" si="17">IF(I69="","",IF(OR(I69="Administration/Insolvency",I69="Pending Wind-down",I69="Sanctions Exposure"),0,IF(OR(AND(OR(I69="Series B",I69="Series C",I69="Series D+"),J69&lt;&gt;"",J69&gt;=TODAY()-730),I69="PE-controlled Growth Mandate",I69="Listed with Growth Profile"),8,IF(OR(I69="Series A",I69="Bootstrapped Profitable",I69="PE-controlled Stable",AND(OR(I69="Series B",I69="Series C",I69="Series D+"),J69&lt;&gt;"",J69&lt;TODAY()-730)),6,IF(OR(I69="Seed",I69="Bootstrapped",I69="Listed Stable",I69="Established Private Flat"),3,0)))))</f>
        <v>6</v>
      </c>
      <c r="AA69" s="6">
        <f ca="1">IF(N69="Yes",0,IF(A69="",0,IF(COUNTIFS('04_Triggers'!B:B,A69,'04_Triggers'!D:D,"&gt;="&amp;(TODAY()-365))&gt;=2,20,IF(COUNTIFS('04_Triggers'!B:B,A69,'04_Triggers'!D:D,"&gt;="&amp;(TODAY()-365),'04_Triggers'!G:G,"High")&gt;=1,14,IF(COUNTIFS('04_Triggers'!B:B,A69,'04_Triggers'!D:D,"&gt;="&amp;(TODAY()-365))&gt;=1,7,IF(COUNTIFS('04_Triggers'!B:B,A69,'04_Triggers'!D:D,"&gt;="&amp;(TODAY()-1095),'04_Triggers'!D:D,"&lt;"&amp;(TODAY()-365))&gt;=1,7,0))))))</f>
        <v>0</v>
      </c>
      <c r="AB69" s="6">
        <f>IF(M69="","",IFERROR(VLOOKUP(M69,Scoring_Lookups!$J$5:$K$16,2,FALSE()),0))</f>
        <v>0</v>
      </c>
      <c r="AC69" s="6">
        <f>IF(O69="","",IFERROR(VLOOKUP(O69,Scoring_Lookups!$M$5:$N$8,2,FALSE()),0))</f>
        <v>4</v>
      </c>
      <c r="AD69" s="6">
        <f>IF(L69="","",IFERROR(VLOOKUP(L69,Scoring_Lookups!$P$5:$Q$9,2,FALSE()),0))</f>
        <v>6</v>
      </c>
      <c r="AE69" s="6">
        <f t="shared" ref="AE69:AE100" si="18">IF(AND(P69="",Q69="",R69=""),"",IF(OR(IFERROR(MAX(P69,Q69),0)&gt;=500000,R69="Yes"),10,IF(IFERROR(MAX(P69,Q69),0)&gt;=100000,7,IF(IFERROR(MAX(P69,Q69),0)&gt;=10000,4,0))))</f>
        <v>4</v>
      </c>
      <c r="AF69" s="6">
        <f t="shared" ref="AF69:AF100" ca="1" si="19">IFERROR(N(V69)+N(W69)+N(X69)+N(Y69)+N(Z69)+N(AA69)+N(AB69)+N(AC69)+N(AD69)+N(AE69),0)</f>
        <v>52</v>
      </c>
      <c r="AG69" s="6" t="str">
        <f t="shared" ref="AG69:AG100" si="20">IF(OR(E69="",C69="",G69=""),"Not scored",IF(OR(V69=0,X69=0,Y69=0,N69="Yes"),"DQ Gating","OK"))</f>
        <v>OK</v>
      </c>
      <c r="AH69" s="6" t="s">
        <v>56</v>
      </c>
      <c r="AI69" s="6" t="str">
        <f t="shared" ref="AI69:AI100" ca="1" si="21">IF(AG69="Not scored","",IF(OR(AG69="DQ Gating",AH69="Yes"),"Disqualified",IF(AF69&gt;=80,"Priority 1",IF(AF69&gt;=60,"Priority 2",IF(AF69&gt;=40,"Priority 3","Disqualified")))))</f>
        <v>Priority 3</v>
      </c>
      <c r="AJ69" s="3" t="str">
        <f t="shared" ref="AJ69:AJ100" ca="1" si="22">IF(AG69="Not scored","","P1 "&amp;IF(E69="","?",E69)&amp;"="&amp;V69&amp;" | P2 "&amp;IF(F69="","?",F69)&amp;"="&amp;W69&amp;" | P3 "&amp;IF(C69="","?",C69)&amp;"="&amp;X69&amp;" | P4 "&amp;IF(G69="","?",G69)&amp;"="&amp;Y69&amp;" | P5 "&amp;IF(I69="","?",I69)&amp;"="&amp;Z69&amp;" | P6="&amp;AA69&amp;" | P7 "&amp;IF(M69="","?",M69)&amp;"="&amp;AB69&amp;" | P8 "&amp;IF(O69="","?",O69)&amp;"="&amp;AC69&amp;" | P9 "&amp;IF(L69="","?",L69)&amp;"="&amp;AD69&amp;" | P10="&amp;AE69)</f>
        <v>P1 Payments=4 | P2 200=10 | P3 Romania=12 | P4 PI Licence=6 | P5 Bootstrapped Profitable=6 | P6=0 | P7 No Card Program, No Plan=0 | P8 Cloud modern, Not API-first=4 | P9 Scheme Participation Visible=6 | P10=4</v>
      </c>
      <c r="AK69" s="3"/>
      <c r="AL69" s="3" t="s">
        <v>61</v>
      </c>
      <c r="AM69" s="3" t="s">
        <v>56</v>
      </c>
      <c r="AN69" s="3"/>
      <c r="AO69" s="3" t="s">
        <v>188</v>
      </c>
      <c r="AP69" s="3" t="str">
        <f t="shared" ref="AP69:AP100" si="23">IF(AO69="","Not set",IF(OR(AO69="Q1 2027",AO69="Q2 2027",AO69="Q3 2027",AO69="Q4 2027",AO69="Live, Migration Window"),"OK",IF(AO69="Live, Urgent Need","Deferred","Watch")))</f>
        <v>Watch</v>
      </c>
      <c r="AQ69" s="4" t="s">
        <v>84</v>
      </c>
    </row>
    <row r="70" spans="1:43" ht="99.75" customHeight="1" x14ac:dyDescent="0.2">
      <c r="A70" s="3" t="s">
        <v>327</v>
      </c>
      <c r="B70" s="3" t="s">
        <v>328</v>
      </c>
      <c r="C70" s="3" t="s">
        <v>329</v>
      </c>
      <c r="D70" s="3" t="s">
        <v>48</v>
      </c>
      <c r="E70" s="3" t="s">
        <v>49</v>
      </c>
      <c r="F70" s="3">
        <v>100</v>
      </c>
      <c r="G70" s="3" t="s">
        <v>67</v>
      </c>
      <c r="H70" s="3" t="s">
        <v>68</v>
      </c>
      <c r="I70" s="3" t="s">
        <v>69</v>
      </c>
      <c r="J70" s="3"/>
      <c r="K70" s="3" t="s">
        <v>53</v>
      </c>
      <c r="L70" s="3" t="s">
        <v>77</v>
      </c>
      <c r="M70" s="3" t="s">
        <v>172</v>
      </c>
      <c r="N70" s="3" t="s">
        <v>56</v>
      </c>
      <c r="O70" s="3" t="s">
        <v>57</v>
      </c>
      <c r="P70" s="3">
        <v>200000</v>
      </c>
      <c r="Q70" s="3">
        <v>400000</v>
      </c>
      <c r="R70" s="3" t="s">
        <v>71</v>
      </c>
      <c r="S70" s="3" t="s">
        <v>330</v>
      </c>
      <c r="T70" s="7">
        <v>46216</v>
      </c>
      <c r="U70" s="3" t="s">
        <v>331</v>
      </c>
      <c r="V70" s="6">
        <f>IF(E70="","",IFERROR(VLOOKUP(E70,Scoring_Lookups!$A$5:$B$18,2,FALSE()),0))</f>
        <v>4</v>
      </c>
      <c r="W70" s="6">
        <f t="shared" si="16"/>
        <v>10</v>
      </c>
      <c r="X70" s="6">
        <f>IF(C70="","",IFERROR(VLOOKUP(C70,Scoring_Lookups!$D$5:$E$35,2,FALSE()),0))</f>
        <v>12</v>
      </c>
      <c r="Y70" s="6">
        <f>IF(G70="","",IFERROR(VLOOKUP(G70,Scoring_Lookups!$G$5:$H$16,2,FALSE()),0))</f>
        <v>6</v>
      </c>
      <c r="Z70" s="6">
        <f t="shared" ca="1" si="17"/>
        <v>6</v>
      </c>
      <c r="AA70" s="6">
        <f ca="1">IF(N70="Yes",0,IF(A70="",0,IF(COUNTIFS('04_Triggers'!B:B,A70,'04_Triggers'!D:D,"&gt;="&amp;(TODAY()-365))&gt;=2,20,IF(COUNTIFS('04_Triggers'!B:B,A70,'04_Triggers'!D:D,"&gt;="&amp;(TODAY()-365),'04_Triggers'!G:G,"High")&gt;=1,14,IF(COUNTIFS('04_Triggers'!B:B,A70,'04_Triggers'!D:D,"&gt;="&amp;(TODAY()-365))&gt;=1,7,IF(COUNTIFS('04_Triggers'!B:B,A70,'04_Triggers'!D:D,"&gt;="&amp;(TODAY()-1095),'04_Triggers'!D:D,"&lt;"&amp;(TODAY()-365))&gt;=1,7,0))))))</f>
        <v>7</v>
      </c>
      <c r="AB70" s="6">
        <f>IF(M70="","",IFERROR(VLOOKUP(M70,Scoring_Lookups!$J$5:$K$16,2,FALSE()),0))</f>
        <v>6</v>
      </c>
      <c r="AC70" s="6">
        <f>IF(O70="","",IFERROR(VLOOKUP(O70,Scoring_Lookups!$M$5:$N$8,2,FALSE()),0))</f>
        <v>6</v>
      </c>
      <c r="AD70" s="6">
        <f>IF(L70="","",IFERROR(VLOOKUP(L70,Scoring_Lookups!$P$5:$Q$9,2,FALSE()),0))</f>
        <v>8</v>
      </c>
      <c r="AE70" s="6">
        <f t="shared" si="18"/>
        <v>10</v>
      </c>
      <c r="AF70" s="6">
        <f t="shared" ca="1" si="19"/>
        <v>75</v>
      </c>
      <c r="AG70" s="6" t="str">
        <f t="shared" si="20"/>
        <v>OK</v>
      </c>
      <c r="AH70" s="6" t="s">
        <v>56</v>
      </c>
      <c r="AI70" s="6" t="str">
        <f t="shared" ca="1" si="21"/>
        <v>Priority 2</v>
      </c>
      <c r="AJ70" s="3" t="str">
        <f t="shared" ca="1" si="22"/>
        <v>P1 Payments=4 | P2 100=10 | P3 Hungary=12 | P4 BIN Sponsor Agreement In Place=6 | P5 Bootstrapped Profitable=6 | P6=7 | P7 Hybrid In-house Solution=6 | P8 Cloud-native (AWS/Azure/GCP), API-first, AI signals=6 | P9 Existing BIN Sponsor Relationship=8 | P10=10</v>
      </c>
      <c r="AK70" s="3"/>
      <c r="AL70" s="3" t="s">
        <v>61</v>
      </c>
      <c r="AM70" s="3" t="s">
        <v>56</v>
      </c>
      <c r="AN70" s="3"/>
      <c r="AO70" s="3" t="s">
        <v>92</v>
      </c>
      <c r="AP70" s="3" t="str">
        <f t="shared" si="23"/>
        <v>OK</v>
      </c>
      <c r="AQ70" s="3" t="s">
        <v>63</v>
      </c>
    </row>
    <row r="71" spans="1:43" ht="99.75" customHeight="1" x14ac:dyDescent="0.2">
      <c r="A71" s="3" t="s">
        <v>332</v>
      </c>
      <c r="B71" s="3" t="s">
        <v>333</v>
      </c>
      <c r="C71" s="3" t="s">
        <v>329</v>
      </c>
      <c r="D71" s="3" t="s">
        <v>48</v>
      </c>
      <c r="E71" s="3" t="s">
        <v>49</v>
      </c>
      <c r="F71" s="3">
        <v>68</v>
      </c>
      <c r="G71" s="3" t="s">
        <v>175</v>
      </c>
      <c r="H71" s="3" t="s">
        <v>68</v>
      </c>
      <c r="I71" s="3" t="s">
        <v>69</v>
      </c>
      <c r="J71" s="3"/>
      <c r="K71" s="3" t="s">
        <v>53</v>
      </c>
      <c r="L71" s="3" t="s">
        <v>77</v>
      </c>
      <c r="M71" s="3" t="s">
        <v>55</v>
      </c>
      <c r="N71" s="3" t="s">
        <v>56</v>
      </c>
      <c r="O71" s="3" t="s">
        <v>70</v>
      </c>
      <c r="P71" s="3">
        <v>0</v>
      </c>
      <c r="Q71" s="3">
        <v>50000</v>
      </c>
      <c r="R71" s="3" t="s">
        <v>71</v>
      </c>
      <c r="S71" s="3" t="s">
        <v>330</v>
      </c>
      <c r="T71" s="7">
        <v>46216</v>
      </c>
      <c r="U71" s="3" t="s">
        <v>334</v>
      </c>
      <c r="V71" s="6">
        <f>IF(E71="","",IFERROR(VLOOKUP(E71,Scoring_Lookups!$A$5:$B$18,2,FALSE()),0))</f>
        <v>4</v>
      </c>
      <c r="W71" s="6">
        <f t="shared" si="16"/>
        <v>10</v>
      </c>
      <c r="X71" s="6">
        <f>IF(C71="","",IFERROR(VLOOKUP(C71,Scoring_Lookups!$D$5:$E$35,2,FALSE()),0))</f>
        <v>12</v>
      </c>
      <c r="Y71" s="6">
        <f>IF(G71="","",IFERROR(VLOOKUP(G71,Scoring_Lookups!$G$5:$H$16,2,FALSE()),0))</f>
        <v>8</v>
      </c>
      <c r="Z71" s="6">
        <f t="shared" ca="1" si="17"/>
        <v>6</v>
      </c>
      <c r="AA71" s="6">
        <f ca="1">IF(N71="Yes",0,IF(A71="",0,IF(COUNTIFS('04_Triggers'!B:B,A71,'04_Triggers'!D:D,"&gt;="&amp;(TODAY()-365))&gt;=2,20,IF(COUNTIFS('04_Triggers'!B:B,A71,'04_Triggers'!D:D,"&gt;="&amp;(TODAY()-365),'04_Triggers'!G:G,"High")&gt;=1,14,IF(COUNTIFS('04_Triggers'!B:B,A71,'04_Triggers'!D:D,"&gt;="&amp;(TODAY()-365))&gt;=1,7,IF(COUNTIFS('04_Triggers'!B:B,A71,'04_Triggers'!D:D,"&gt;="&amp;(TODAY()-1095),'04_Triggers'!D:D,"&lt;"&amp;(TODAY()-365))&gt;=1,7,0))))))</f>
        <v>7</v>
      </c>
      <c r="AB71" s="6">
        <f>IF(M71="","",IFERROR(VLOOKUP(M71,Scoring_Lookups!$J$5:$K$16,2,FALSE()),0))</f>
        <v>4</v>
      </c>
      <c r="AC71" s="6">
        <f>IF(O71="","",IFERROR(VLOOKUP(O71,Scoring_Lookups!$M$5:$N$8,2,FALSE()),0))</f>
        <v>4</v>
      </c>
      <c r="AD71" s="6">
        <f>IF(L71="","",IFERROR(VLOOKUP(L71,Scoring_Lookups!$P$5:$Q$9,2,FALSE()),0))</f>
        <v>8</v>
      </c>
      <c r="AE71" s="6">
        <f t="shared" si="18"/>
        <v>10</v>
      </c>
      <c r="AF71" s="6">
        <f t="shared" ca="1" si="19"/>
        <v>73</v>
      </c>
      <c r="AG71" s="6" t="str">
        <f t="shared" si="20"/>
        <v>OK</v>
      </c>
      <c r="AH71" s="6" t="s">
        <v>56</v>
      </c>
      <c r="AI71" s="6" t="str">
        <f t="shared" ca="1" si="21"/>
        <v>Priority 2</v>
      </c>
      <c r="AJ71" s="3" t="str">
        <f t="shared" ca="1" si="22"/>
        <v>P1 Payments=4 | P2 68=10 | P3 Hungary=12 | P4 EMI Licence=8 | P5 Bootstrapped Profitable=6 | P6=7 | P7 Planning to Launch (No Incumbent Yet)=4 | P8 Cloud modern, Not API-first=4 | P9 Existing BIN Sponsor Relationship=8 | P10=10</v>
      </c>
      <c r="AK71" s="3"/>
      <c r="AL71" s="3" t="s">
        <v>61</v>
      </c>
      <c r="AM71" s="3" t="s">
        <v>56</v>
      </c>
      <c r="AN71" s="3"/>
      <c r="AO71" s="3" t="s">
        <v>100</v>
      </c>
      <c r="AP71" s="3" t="str">
        <f t="shared" si="23"/>
        <v>OK</v>
      </c>
      <c r="AQ71" s="4" t="s">
        <v>84</v>
      </c>
    </row>
    <row r="72" spans="1:43" ht="99.75" customHeight="1" x14ac:dyDescent="0.2">
      <c r="A72" s="3" t="s">
        <v>335</v>
      </c>
      <c r="B72" s="3" t="s">
        <v>336</v>
      </c>
      <c r="C72" s="3" t="s">
        <v>329</v>
      </c>
      <c r="D72" s="3" t="s">
        <v>48</v>
      </c>
      <c r="E72" s="3" t="s">
        <v>66</v>
      </c>
      <c r="F72" s="3">
        <v>30</v>
      </c>
      <c r="G72" s="3" t="s">
        <v>50</v>
      </c>
      <c r="H72" s="3" t="s">
        <v>51</v>
      </c>
      <c r="I72" s="3" t="s">
        <v>87</v>
      </c>
      <c r="J72" s="3">
        <v>45731</v>
      </c>
      <c r="K72" s="3" t="s">
        <v>53</v>
      </c>
      <c r="L72" s="3" t="s">
        <v>54</v>
      </c>
      <c r="M72" s="3" t="s">
        <v>55</v>
      </c>
      <c r="N72" s="3" t="s">
        <v>56</v>
      </c>
      <c r="O72" s="3" t="s">
        <v>57</v>
      </c>
      <c r="P72" s="3">
        <v>0</v>
      </c>
      <c r="Q72" s="3">
        <v>50000</v>
      </c>
      <c r="R72" s="3" t="s">
        <v>71</v>
      </c>
      <c r="S72" s="3" t="s">
        <v>330</v>
      </c>
      <c r="T72" s="7">
        <v>46216</v>
      </c>
      <c r="U72" s="3" t="s">
        <v>337</v>
      </c>
      <c r="V72" s="6">
        <f>IF(E72="","",IFERROR(VLOOKUP(E72,Scoring_Lookups!$A$5:$B$18,2,FALSE()),0))</f>
        <v>7</v>
      </c>
      <c r="W72" s="6">
        <f t="shared" si="16"/>
        <v>7</v>
      </c>
      <c r="X72" s="6">
        <f>IF(C72="","",IFERROR(VLOOKUP(C72,Scoring_Lookups!$D$5:$E$35,2,FALSE()),0))</f>
        <v>12</v>
      </c>
      <c r="Y72" s="6">
        <f>IF(G72="","",IFERROR(VLOOKUP(G72,Scoring_Lookups!$G$5:$H$16,2,FALSE()),0))</f>
        <v>6</v>
      </c>
      <c r="Z72" s="6">
        <f t="shared" ca="1" si="17"/>
        <v>6</v>
      </c>
      <c r="AA72" s="6">
        <f ca="1">IF(N72="Yes",0,IF(A72="",0,IF(COUNTIFS('04_Triggers'!B:B,A72,'04_Triggers'!D:D,"&gt;="&amp;(TODAY()-365))&gt;=2,20,IF(COUNTIFS('04_Triggers'!B:B,A72,'04_Triggers'!D:D,"&gt;="&amp;(TODAY()-365),'04_Triggers'!G:G,"High")&gt;=1,14,IF(COUNTIFS('04_Triggers'!B:B,A72,'04_Triggers'!D:D,"&gt;="&amp;(TODAY()-365))&gt;=1,7,IF(COUNTIFS('04_Triggers'!B:B,A72,'04_Triggers'!D:D,"&gt;="&amp;(TODAY()-1095),'04_Triggers'!D:D,"&lt;"&amp;(TODAY()-365))&gt;=1,7,0))))))</f>
        <v>7</v>
      </c>
      <c r="AB72" s="6">
        <f>IF(M72="","",IFERROR(VLOOKUP(M72,Scoring_Lookups!$J$5:$K$16,2,FALSE()),0))</f>
        <v>4</v>
      </c>
      <c r="AC72" s="6">
        <f>IF(O72="","",IFERROR(VLOOKUP(O72,Scoring_Lookups!$M$5:$N$8,2,FALSE()),0))</f>
        <v>6</v>
      </c>
      <c r="AD72" s="6">
        <f>IF(L72="","",IFERROR(VLOOKUP(L72,Scoring_Lookups!$P$5:$Q$9,2,FALSE()),0))</f>
        <v>3</v>
      </c>
      <c r="AE72" s="6">
        <f t="shared" si="18"/>
        <v>10</v>
      </c>
      <c r="AF72" s="6">
        <f t="shared" ca="1" si="19"/>
        <v>68</v>
      </c>
      <c r="AG72" s="6" t="str">
        <f t="shared" si="20"/>
        <v>OK</v>
      </c>
      <c r="AH72" s="6" t="s">
        <v>56</v>
      </c>
      <c r="AI72" s="6" t="str">
        <f t="shared" ca="1" si="21"/>
        <v>Priority 2</v>
      </c>
      <c r="AJ72" s="3" t="str">
        <f t="shared" ca="1" si="22"/>
        <v>P1 Lending (SMB)=7 | P2 30=7 | P3 Hungary=12 | P4 PI Licence=6 | P5 Series A=6 | P6=7 | P7 Planning to Launch (No Incumbent Yet)=4 | P8 Cloud-native (AWS/Azure/GCP), API-first, AI signals=6 | P9 No Sponsor, Licensing Suggests Imminent=3 | P10=10</v>
      </c>
      <c r="AK72" s="3"/>
      <c r="AL72" s="3" t="s">
        <v>61</v>
      </c>
      <c r="AM72" s="3" t="s">
        <v>56</v>
      </c>
      <c r="AN72" s="3"/>
      <c r="AO72" s="3" t="s">
        <v>73</v>
      </c>
      <c r="AP72" s="3" t="str">
        <f t="shared" si="23"/>
        <v>OK</v>
      </c>
      <c r="AQ72" s="3" t="s">
        <v>63</v>
      </c>
    </row>
    <row r="73" spans="1:43" ht="99.75" customHeight="1" x14ac:dyDescent="0.2">
      <c r="A73" s="3" t="s">
        <v>338</v>
      </c>
      <c r="B73" s="3" t="s">
        <v>339</v>
      </c>
      <c r="C73" s="3" t="s">
        <v>329</v>
      </c>
      <c r="D73" s="3" t="s">
        <v>48</v>
      </c>
      <c r="E73" s="3" t="s">
        <v>49</v>
      </c>
      <c r="F73" s="3">
        <v>15</v>
      </c>
      <c r="G73" s="3" t="s">
        <v>175</v>
      </c>
      <c r="H73" s="3" t="s">
        <v>68</v>
      </c>
      <c r="I73" s="3" t="s">
        <v>194</v>
      </c>
      <c r="J73" s="3"/>
      <c r="K73" s="3" t="s">
        <v>184</v>
      </c>
      <c r="L73" s="3" t="s">
        <v>54</v>
      </c>
      <c r="M73" s="3" t="s">
        <v>55</v>
      </c>
      <c r="N73" s="3" t="s">
        <v>56</v>
      </c>
      <c r="O73" s="3" t="s">
        <v>57</v>
      </c>
      <c r="P73" s="3">
        <v>0</v>
      </c>
      <c r="Q73" s="3">
        <v>30000</v>
      </c>
      <c r="R73" s="3" t="s">
        <v>71</v>
      </c>
      <c r="S73" s="3" t="s">
        <v>330</v>
      </c>
      <c r="T73" s="7">
        <v>46216</v>
      </c>
      <c r="U73" s="3" t="s">
        <v>340</v>
      </c>
      <c r="V73" s="6">
        <f>IF(E73="","",IFERROR(VLOOKUP(E73,Scoring_Lookups!$A$5:$B$18,2,FALSE()),0))</f>
        <v>4</v>
      </c>
      <c r="W73" s="6">
        <f t="shared" si="16"/>
        <v>4</v>
      </c>
      <c r="X73" s="6">
        <f>IF(C73="","",IFERROR(VLOOKUP(C73,Scoring_Lookups!$D$5:$E$35,2,FALSE()),0))</f>
        <v>12</v>
      </c>
      <c r="Y73" s="6">
        <f>IF(G73="","",IFERROR(VLOOKUP(G73,Scoring_Lookups!$G$5:$H$16,2,FALSE()),0))</f>
        <v>8</v>
      </c>
      <c r="Z73" s="6">
        <f t="shared" ca="1" si="17"/>
        <v>3</v>
      </c>
      <c r="AA73" s="6">
        <f ca="1">IF(N73="Yes",0,IF(A73="",0,IF(COUNTIFS('04_Triggers'!B:B,A73,'04_Triggers'!D:D,"&gt;="&amp;(TODAY()-365))&gt;=2,20,IF(COUNTIFS('04_Triggers'!B:B,A73,'04_Triggers'!D:D,"&gt;="&amp;(TODAY()-365),'04_Triggers'!G:G,"High")&gt;=1,14,IF(COUNTIFS('04_Triggers'!B:B,A73,'04_Triggers'!D:D,"&gt;="&amp;(TODAY()-365))&gt;=1,7,IF(COUNTIFS('04_Triggers'!B:B,A73,'04_Triggers'!D:D,"&gt;="&amp;(TODAY()-1095),'04_Triggers'!D:D,"&lt;"&amp;(TODAY()-365))&gt;=1,7,0))))))</f>
        <v>14</v>
      </c>
      <c r="AB73" s="6">
        <f>IF(M73="","",IFERROR(VLOOKUP(M73,Scoring_Lookups!$J$5:$K$16,2,FALSE()),0))</f>
        <v>4</v>
      </c>
      <c r="AC73" s="6">
        <f>IF(O73="","",IFERROR(VLOOKUP(O73,Scoring_Lookups!$M$5:$N$8,2,FALSE()),0))</f>
        <v>6</v>
      </c>
      <c r="AD73" s="6">
        <f>IF(L73="","",IFERROR(VLOOKUP(L73,Scoring_Lookups!$P$5:$Q$9,2,FALSE()),0))</f>
        <v>3</v>
      </c>
      <c r="AE73" s="6">
        <f t="shared" si="18"/>
        <v>10</v>
      </c>
      <c r="AF73" s="6">
        <f t="shared" ca="1" si="19"/>
        <v>68</v>
      </c>
      <c r="AG73" s="6" t="str">
        <f t="shared" si="20"/>
        <v>OK</v>
      </c>
      <c r="AH73" s="6" t="s">
        <v>56</v>
      </c>
      <c r="AI73" s="6" t="str">
        <f t="shared" ca="1" si="21"/>
        <v>Priority 2</v>
      </c>
      <c r="AJ73" s="3" t="str">
        <f t="shared" ca="1" si="22"/>
        <v>P1 Payments=4 | P2 15=4 | P3 Hungary=12 | P4 EMI Licence=8 | P5 Bootstrapped=3 | P6=14 | P7 Planning to Launch (No Incumbent Yet)=4 | P8 Cloud-native (AWS/Azure/GCP), API-first, AI signals=6 | P9 No Sponsor, Licensing Suggests Imminent=3 | P10=10</v>
      </c>
      <c r="AK73" s="3"/>
      <c r="AL73" s="3" t="s">
        <v>61</v>
      </c>
      <c r="AM73" s="3" t="s">
        <v>56</v>
      </c>
      <c r="AN73" s="3"/>
      <c r="AO73" s="3" t="s">
        <v>341</v>
      </c>
      <c r="AP73" s="3" t="str">
        <f t="shared" si="23"/>
        <v>OK</v>
      </c>
      <c r="AQ73" s="4" t="s">
        <v>63</v>
      </c>
    </row>
    <row r="74" spans="1:43" ht="99.75" customHeight="1" x14ac:dyDescent="0.2">
      <c r="A74" s="3" t="s">
        <v>342</v>
      </c>
      <c r="B74" s="3" t="s">
        <v>343</v>
      </c>
      <c r="C74" s="3" t="s">
        <v>329</v>
      </c>
      <c r="D74" s="3" t="s">
        <v>48</v>
      </c>
      <c r="E74" s="3" t="s">
        <v>66</v>
      </c>
      <c r="F74" s="3">
        <v>30</v>
      </c>
      <c r="G74" s="3" t="s">
        <v>67</v>
      </c>
      <c r="H74" s="3" t="s">
        <v>96</v>
      </c>
      <c r="I74" s="3" t="s">
        <v>97</v>
      </c>
      <c r="J74" s="3"/>
      <c r="K74" s="3" t="s">
        <v>184</v>
      </c>
      <c r="L74" s="3" t="s">
        <v>54</v>
      </c>
      <c r="M74" s="3" t="s">
        <v>186</v>
      </c>
      <c r="N74" s="3" t="s">
        <v>56</v>
      </c>
      <c r="O74" s="3" t="s">
        <v>57</v>
      </c>
      <c r="P74" s="3">
        <v>0</v>
      </c>
      <c r="Q74" s="3">
        <v>20000</v>
      </c>
      <c r="R74" s="3" t="s">
        <v>58</v>
      </c>
      <c r="S74" s="3" t="s">
        <v>330</v>
      </c>
      <c r="T74" s="7">
        <v>46216</v>
      </c>
      <c r="U74" s="3" t="s">
        <v>344</v>
      </c>
      <c r="V74" s="6">
        <f>IF(E74="","",IFERROR(VLOOKUP(E74,Scoring_Lookups!$A$5:$B$18,2,FALSE()),0))</f>
        <v>7</v>
      </c>
      <c r="W74" s="6">
        <f t="shared" si="16"/>
        <v>7</v>
      </c>
      <c r="X74" s="6">
        <f>IF(C74="","",IFERROR(VLOOKUP(C74,Scoring_Lookups!$D$5:$E$35,2,FALSE()),0))</f>
        <v>12</v>
      </c>
      <c r="Y74" s="6">
        <f>IF(G74="","",IFERROR(VLOOKUP(G74,Scoring_Lookups!$G$5:$H$16,2,FALSE()),0))</f>
        <v>6</v>
      </c>
      <c r="Z74" s="6">
        <f t="shared" ca="1" si="17"/>
        <v>6</v>
      </c>
      <c r="AA74" s="6">
        <f ca="1">IF(N74="Yes",0,IF(A74="",0,IF(COUNTIFS('04_Triggers'!B:B,A74,'04_Triggers'!D:D,"&gt;="&amp;(TODAY()-365))&gt;=2,20,IF(COUNTIFS('04_Triggers'!B:B,A74,'04_Triggers'!D:D,"&gt;="&amp;(TODAY()-365),'04_Triggers'!G:G,"High")&gt;=1,14,IF(COUNTIFS('04_Triggers'!B:B,A74,'04_Triggers'!D:D,"&gt;="&amp;(TODAY()-365))&gt;=1,7,IF(COUNTIFS('04_Triggers'!B:B,A74,'04_Triggers'!D:D,"&gt;="&amp;(TODAY()-1095),'04_Triggers'!D:D,"&lt;"&amp;(TODAY()-365))&gt;=1,7,0))))))</f>
        <v>7</v>
      </c>
      <c r="AB74" s="6">
        <f>IF(M74="","",IFERROR(VLOOKUP(M74,Scoring_Lookups!$J$5:$K$16,2,FALSE()),0))</f>
        <v>0</v>
      </c>
      <c r="AC74" s="6">
        <f>IF(O74="","",IFERROR(VLOOKUP(O74,Scoring_Lookups!$M$5:$N$8,2,FALSE()),0))</f>
        <v>6</v>
      </c>
      <c r="AD74" s="6">
        <f>IF(L74="","",IFERROR(VLOOKUP(L74,Scoring_Lookups!$P$5:$Q$9,2,FALSE()),0))</f>
        <v>3</v>
      </c>
      <c r="AE74" s="6">
        <f t="shared" si="18"/>
        <v>4</v>
      </c>
      <c r="AF74" s="6">
        <f t="shared" ca="1" si="19"/>
        <v>58</v>
      </c>
      <c r="AG74" s="6" t="str">
        <f t="shared" si="20"/>
        <v>OK</v>
      </c>
      <c r="AH74" s="6" t="s">
        <v>56</v>
      </c>
      <c r="AI74" s="6" t="str">
        <f t="shared" ca="1" si="21"/>
        <v>Priority 3</v>
      </c>
      <c r="AJ74" s="3" t="str">
        <f t="shared" ca="1" si="22"/>
        <v>P1 Lending (SMB)=7 | P2 30=7 | P3 Hungary=12 | P4 BIN Sponsor Agreement In Place=6 | P5 PE-controlled Stable=6 | P6=7 | P7 No Card Program, No Plan=0 | P8 Cloud-native (AWS/Azure/GCP), API-first, AI signals=6 | P9 No Sponsor, Licensing Suggests Imminent=3 | P10=4</v>
      </c>
      <c r="AK74" s="3"/>
      <c r="AL74" s="3" t="s">
        <v>61</v>
      </c>
      <c r="AM74" s="3" t="s">
        <v>56</v>
      </c>
      <c r="AN74" s="3"/>
      <c r="AO74" s="3" t="s">
        <v>188</v>
      </c>
      <c r="AP74" s="3" t="str">
        <f t="shared" si="23"/>
        <v>Watch</v>
      </c>
      <c r="AQ74" s="3" t="s">
        <v>63</v>
      </c>
    </row>
    <row r="75" spans="1:43" ht="99.75" customHeight="1" x14ac:dyDescent="0.2">
      <c r="A75" s="3" t="s">
        <v>345</v>
      </c>
      <c r="B75" s="3" t="s">
        <v>346</v>
      </c>
      <c r="C75" s="3" t="s">
        <v>329</v>
      </c>
      <c r="D75" s="3" t="s">
        <v>48</v>
      </c>
      <c r="E75" s="3" t="s">
        <v>76</v>
      </c>
      <c r="F75" s="3">
        <v>30</v>
      </c>
      <c r="G75" s="3" t="s">
        <v>234</v>
      </c>
      <c r="H75" s="3" t="s">
        <v>51</v>
      </c>
      <c r="I75" s="3" t="s">
        <v>52</v>
      </c>
      <c r="J75" s="3"/>
      <c r="K75" s="3" t="s">
        <v>184</v>
      </c>
      <c r="L75" s="3" t="s">
        <v>54</v>
      </c>
      <c r="M75" s="3" t="s">
        <v>186</v>
      </c>
      <c r="N75" s="3" t="s">
        <v>56</v>
      </c>
      <c r="O75" s="3" t="s">
        <v>57</v>
      </c>
      <c r="P75" s="3">
        <v>0</v>
      </c>
      <c r="Q75" s="3">
        <v>10000</v>
      </c>
      <c r="R75" s="3" t="s">
        <v>58</v>
      </c>
      <c r="S75" s="3" t="s">
        <v>330</v>
      </c>
      <c r="T75" s="7">
        <v>46216</v>
      </c>
      <c r="U75" s="3" t="s">
        <v>347</v>
      </c>
      <c r="V75" s="6">
        <f>IF(E75="","",IFERROR(VLOOKUP(E75,Scoring_Lookups!$A$5:$B$18,2,FALSE()),0))</f>
        <v>7</v>
      </c>
      <c r="W75" s="6">
        <f t="shared" si="16"/>
        <v>7</v>
      </c>
      <c r="X75" s="6">
        <f>IF(C75="","",IFERROR(VLOOKUP(C75,Scoring_Lookups!$D$5:$E$35,2,FALSE()),0))</f>
        <v>12</v>
      </c>
      <c r="Y75" s="6">
        <f>IF(G75="","",IFERROR(VLOOKUP(G75,Scoring_Lookups!$G$5:$H$16,2,FALSE()),0))</f>
        <v>3</v>
      </c>
      <c r="Z75" s="6">
        <f t="shared" ca="1" si="17"/>
        <v>3</v>
      </c>
      <c r="AA75" s="6">
        <f ca="1">IF(N75="Yes",0,IF(A75="",0,IF(COUNTIFS('04_Triggers'!B:B,A75,'04_Triggers'!D:D,"&gt;="&amp;(TODAY()-365))&gt;=2,20,IF(COUNTIFS('04_Triggers'!B:B,A75,'04_Triggers'!D:D,"&gt;="&amp;(TODAY()-365),'04_Triggers'!G:G,"High")&gt;=1,14,IF(COUNTIFS('04_Triggers'!B:B,A75,'04_Triggers'!D:D,"&gt;="&amp;(TODAY()-365))&gt;=1,7,IF(COUNTIFS('04_Triggers'!B:B,A75,'04_Triggers'!D:D,"&gt;="&amp;(TODAY()-1095),'04_Triggers'!D:D,"&lt;"&amp;(TODAY()-365))&gt;=1,7,0))))))</f>
        <v>0</v>
      </c>
      <c r="AB75" s="6">
        <f>IF(M75="","",IFERROR(VLOOKUP(M75,Scoring_Lookups!$J$5:$K$16,2,FALSE()),0))</f>
        <v>0</v>
      </c>
      <c r="AC75" s="6">
        <f>IF(O75="","",IFERROR(VLOOKUP(O75,Scoring_Lookups!$M$5:$N$8,2,FALSE()),0))</f>
        <v>6</v>
      </c>
      <c r="AD75" s="6">
        <f>IF(L75="","",IFERROR(VLOOKUP(L75,Scoring_Lookups!$P$5:$Q$9,2,FALSE()),0))</f>
        <v>3</v>
      </c>
      <c r="AE75" s="6">
        <f t="shared" si="18"/>
        <v>4</v>
      </c>
      <c r="AF75" s="6">
        <f t="shared" ca="1" si="19"/>
        <v>45</v>
      </c>
      <c r="AG75" s="6" t="str">
        <f t="shared" si="20"/>
        <v>OK</v>
      </c>
      <c r="AH75" s="6" t="s">
        <v>56</v>
      </c>
      <c r="AI75" s="6" t="str">
        <f t="shared" ca="1" si="21"/>
        <v>Priority 3</v>
      </c>
      <c r="AJ75" s="3" t="str">
        <f t="shared" ca="1" si="22"/>
        <v>P1 BaaS=7 | P2 30=7 | P3 Hungary=12 | P4 Secondary Regime=3 | P5 Seed=3 | P6=0 | P7 No Card Program, No Plan=0 | P8 Cloud-native (AWS/Azure/GCP), API-first, AI signals=6 | P9 No Sponsor, Licensing Suggests Imminent=3 | P10=4</v>
      </c>
      <c r="AK75" s="3"/>
      <c r="AL75" s="3" t="s">
        <v>61</v>
      </c>
      <c r="AM75" s="3" t="s">
        <v>56</v>
      </c>
      <c r="AN75" s="3"/>
      <c r="AO75" s="3" t="s">
        <v>188</v>
      </c>
      <c r="AP75" s="3" t="str">
        <f t="shared" si="23"/>
        <v>Watch</v>
      </c>
      <c r="AQ75" s="4" t="s">
        <v>63</v>
      </c>
    </row>
    <row r="76" spans="1:43" ht="99.75" customHeight="1" x14ac:dyDescent="0.2">
      <c r="A76" s="3" t="s">
        <v>348</v>
      </c>
      <c r="B76" s="3" t="s">
        <v>349</v>
      </c>
      <c r="C76" s="3" t="s">
        <v>329</v>
      </c>
      <c r="D76" s="3" t="s">
        <v>48</v>
      </c>
      <c r="E76" s="3" t="s">
        <v>315</v>
      </c>
      <c r="F76" s="3">
        <v>25</v>
      </c>
      <c r="G76" s="3" t="s">
        <v>67</v>
      </c>
      <c r="H76" s="3" t="s">
        <v>68</v>
      </c>
      <c r="I76" s="3" t="s">
        <v>69</v>
      </c>
      <c r="J76" s="3"/>
      <c r="K76" s="3" t="s">
        <v>53</v>
      </c>
      <c r="L76" s="3" t="s">
        <v>77</v>
      </c>
      <c r="M76" s="3" t="s">
        <v>172</v>
      </c>
      <c r="N76" s="3" t="s">
        <v>56</v>
      </c>
      <c r="O76" s="3" t="s">
        <v>70</v>
      </c>
      <c r="P76" s="3">
        <v>50000</v>
      </c>
      <c r="Q76" s="3">
        <v>80000</v>
      </c>
      <c r="R76" s="3" t="s">
        <v>71</v>
      </c>
      <c r="S76" s="3" t="s">
        <v>330</v>
      </c>
      <c r="T76" s="7">
        <v>46216</v>
      </c>
      <c r="U76" s="3" t="s">
        <v>350</v>
      </c>
      <c r="V76" s="6">
        <f>IF(E76="","",IFERROR(VLOOKUP(E76,Scoring_Lookups!$A$5:$B$18,2,FALSE()),0))</f>
        <v>4</v>
      </c>
      <c r="W76" s="6">
        <f t="shared" si="16"/>
        <v>7</v>
      </c>
      <c r="X76" s="6">
        <f>IF(C76="","",IFERROR(VLOOKUP(C76,Scoring_Lookups!$D$5:$E$35,2,FALSE()),0))</f>
        <v>12</v>
      </c>
      <c r="Y76" s="6">
        <f>IF(G76="","",IFERROR(VLOOKUP(G76,Scoring_Lookups!$G$5:$H$16,2,FALSE()),0))</f>
        <v>6</v>
      </c>
      <c r="Z76" s="6">
        <f t="shared" ca="1" si="17"/>
        <v>6</v>
      </c>
      <c r="AA76" s="6">
        <f ca="1">IF(N76="Yes",0,IF(A76="",0,IF(COUNTIFS('04_Triggers'!B:B,A76,'04_Triggers'!D:D,"&gt;="&amp;(TODAY()-365))&gt;=2,20,IF(COUNTIFS('04_Triggers'!B:B,A76,'04_Triggers'!D:D,"&gt;="&amp;(TODAY()-365),'04_Triggers'!G:G,"High")&gt;=1,14,IF(COUNTIFS('04_Triggers'!B:B,A76,'04_Triggers'!D:D,"&gt;="&amp;(TODAY()-365))&gt;=1,7,IF(COUNTIFS('04_Triggers'!B:B,A76,'04_Triggers'!D:D,"&gt;="&amp;(TODAY()-1095),'04_Triggers'!D:D,"&lt;"&amp;(TODAY()-365))&gt;=1,7,0))))))</f>
        <v>0</v>
      </c>
      <c r="AB76" s="6">
        <f>IF(M76="","",IFERROR(VLOOKUP(M76,Scoring_Lookups!$J$5:$K$16,2,FALSE()),0))</f>
        <v>6</v>
      </c>
      <c r="AC76" s="6">
        <f>IF(O76="","",IFERROR(VLOOKUP(O76,Scoring_Lookups!$M$5:$N$8,2,FALSE()),0))</f>
        <v>4</v>
      </c>
      <c r="AD76" s="6">
        <f>IF(L76="","",IFERROR(VLOOKUP(L76,Scoring_Lookups!$P$5:$Q$9,2,FALSE()),0))</f>
        <v>8</v>
      </c>
      <c r="AE76" s="6">
        <f t="shared" si="18"/>
        <v>10</v>
      </c>
      <c r="AF76" s="6">
        <f t="shared" ca="1" si="19"/>
        <v>63</v>
      </c>
      <c r="AG76" s="6" t="str">
        <f t="shared" si="20"/>
        <v>OK</v>
      </c>
      <c r="AH76" s="6" t="s">
        <v>56</v>
      </c>
      <c r="AI76" s="6" t="str">
        <f t="shared" ca="1" si="21"/>
        <v>Priority 2</v>
      </c>
      <c r="AJ76" s="3" t="str">
        <f t="shared" ca="1" si="22"/>
        <v>P1 Gift Card=4 | P2 25=7 | P3 Hungary=12 | P4 BIN Sponsor Agreement In Place=6 | P5 Bootstrapped Profitable=6 | P6=0 | P7 Hybrid In-house Solution=6 | P8 Cloud modern, Not API-first=4 | P9 Existing BIN Sponsor Relationship=8 | P10=10</v>
      </c>
      <c r="AK76" s="3"/>
      <c r="AL76" s="3" t="s">
        <v>61</v>
      </c>
      <c r="AM76" s="3" t="s">
        <v>56</v>
      </c>
      <c r="AN76" s="3"/>
      <c r="AO76" s="3" t="s">
        <v>92</v>
      </c>
      <c r="AP76" s="3" t="str">
        <f t="shared" si="23"/>
        <v>OK</v>
      </c>
      <c r="AQ76" s="3" t="s">
        <v>84</v>
      </c>
    </row>
    <row r="77" spans="1:43" ht="99.75" customHeight="1" x14ac:dyDescent="0.2">
      <c r="A77" s="3" t="s">
        <v>351</v>
      </c>
      <c r="B77" s="3" t="s">
        <v>352</v>
      </c>
      <c r="C77" s="3" t="s">
        <v>329</v>
      </c>
      <c r="D77" s="3" t="s">
        <v>48</v>
      </c>
      <c r="E77" s="3" t="s">
        <v>76</v>
      </c>
      <c r="F77" s="3">
        <v>175</v>
      </c>
      <c r="G77" s="3" t="s">
        <v>182</v>
      </c>
      <c r="H77" s="3" t="s">
        <v>68</v>
      </c>
      <c r="I77" s="3" t="s">
        <v>69</v>
      </c>
      <c r="J77" s="3"/>
      <c r="K77" s="3" t="s">
        <v>184</v>
      </c>
      <c r="L77" s="3" t="s">
        <v>185</v>
      </c>
      <c r="M77" s="3" t="s">
        <v>186</v>
      </c>
      <c r="N77" s="3" t="s">
        <v>56</v>
      </c>
      <c r="O77" s="3" t="s">
        <v>70</v>
      </c>
      <c r="P77" s="3">
        <v>0</v>
      </c>
      <c r="Q77" s="3">
        <v>0</v>
      </c>
      <c r="R77" s="3" t="s">
        <v>56</v>
      </c>
      <c r="S77" s="3" t="s">
        <v>330</v>
      </c>
      <c r="T77" s="7">
        <v>46216</v>
      </c>
      <c r="U77" s="3" t="s">
        <v>353</v>
      </c>
      <c r="V77" s="6">
        <f>IF(E77="","",IFERROR(VLOOKUP(E77,Scoring_Lookups!$A$5:$B$18,2,FALSE()),0))</f>
        <v>7</v>
      </c>
      <c r="W77" s="6">
        <f t="shared" si="16"/>
        <v>10</v>
      </c>
      <c r="X77" s="6">
        <f>IF(C77="","",IFERROR(VLOOKUP(C77,Scoring_Lookups!$D$5:$E$35,2,FALSE()),0))</f>
        <v>12</v>
      </c>
      <c r="Y77" s="6">
        <f>IF(G77="","",IFERROR(VLOOKUP(G77,Scoring_Lookups!$G$5:$H$16,2,FALSE()),0))</f>
        <v>0</v>
      </c>
      <c r="Z77" s="6">
        <f t="shared" ca="1" si="17"/>
        <v>6</v>
      </c>
      <c r="AA77" s="6">
        <f ca="1">IF(N77="Yes",0,IF(A77="",0,IF(COUNTIFS('04_Triggers'!B:B,A77,'04_Triggers'!D:D,"&gt;="&amp;(TODAY()-365))&gt;=2,20,IF(COUNTIFS('04_Triggers'!B:B,A77,'04_Triggers'!D:D,"&gt;="&amp;(TODAY()-365),'04_Triggers'!G:G,"High")&gt;=1,14,IF(COUNTIFS('04_Triggers'!B:B,A77,'04_Triggers'!D:D,"&gt;="&amp;(TODAY()-365))&gt;=1,7,IF(COUNTIFS('04_Triggers'!B:B,A77,'04_Triggers'!D:D,"&gt;="&amp;(TODAY()-1095),'04_Triggers'!D:D,"&lt;"&amp;(TODAY()-365))&gt;=1,7,0))))))</f>
        <v>0</v>
      </c>
      <c r="AB77" s="6">
        <f>IF(M77="","",IFERROR(VLOOKUP(M77,Scoring_Lookups!$J$5:$K$16,2,FALSE()),0))</f>
        <v>0</v>
      </c>
      <c r="AC77" s="6">
        <f>IF(O77="","",IFERROR(VLOOKUP(O77,Scoring_Lookups!$M$5:$N$8,2,FALSE()),0))</f>
        <v>4</v>
      </c>
      <c r="AD77" s="6">
        <f>IF(L77="","",IFERROR(VLOOKUP(L77,Scoring_Lookups!$P$5:$Q$9,2,FALSE()),0))</f>
        <v>0</v>
      </c>
      <c r="AE77" s="6">
        <f t="shared" si="18"/>
        <v>0</v>
      </c>
      <c r="AF77" s="6">
        <f t="shared" ca="1" si="19"/>
        <v>39</v>
      </c>
      <c r="AG77" s="6" t="str">
        <f t="shared" si="20"/>
        <v>DQ Gating</v>
      </c>
      <c r="AH77" s="6" t="s">
        <v>56</v>
      </c>
      <c r="AI77" s="6" t="str">
        <f t="shared" si="21"/>
        <v>Disqualified</v>
      </c>
      <c r="AJ77" s="3" t="str">
        <f t="shared" ca="1" si="22"/>
        <v>P1 BaaS=7 | P2 175=10 | P3 Hungary=12 | P4 Unlicensed, No Sponsor=0 | P5 Bootstrapped Profitable=6 | P6=0 | P7 No Card Program, No Plan=0 | P8 Cloud modern, Not API-first=4 | P9 No Scheme Participation Path=0 | P10=0</v>
      </c>
      <c r="AK77" s="3"/>
      <c r="AL77" s="3" t="s">
        <v>61</v>
      </c>
      <c r="AM77" s="3" t="s">
        <v>56</v>
      </c>
      <c r="AN77" s="3"/>
      <c r="AO77" s="3" t="s">
        <v>188</v>
      </c>
      <c r="AP77" s="3" t="str">
        <f t="shared" si="23"/>
        <v>Watch</v>
      </c>
      <c r="AQ77" s="4" t="s">
        <v>63</v>
      </c>
    </row>
    <row r="78" spans="1:43" ht="99.75" customHeight="1" x14ac:dyDescent="0.2">
      <c r="A78" s="3" t="s">
        <v>354</v>
      </c>
      <c r="B78" s="3" t="s">
        <v>355</v>
      </c>
      <c r="C78" s="3" t="s">
        <v>329</v>
      </c>
      <c r="D78" s="3" t="s">
        <v>48</v>
      </c>
      <c r="E78" s="3" t="s">
        <v>95</v>
      </c>
      <c r="F78" s="3">
        <v>100</v>
      </c>
      <c r="G78" s="3" t="s">
        <v>136</v>
      </c>
      <c r="H78" s="3" t="s">
        <v>96</v>
      </c>
      <c r="I78" s="3" t="s">
        <v>97</v>
      </c>
      <c r="J78" s="3"/>
      <c r="K78" s="3" t="s">
        <v>53</v>
      </c>
      <c r="L78" s="3" t="s">
        <v>77</v>
      </c>
      <c r="M78" s="3" t="s">
        <v>89</v>
      </c>
      <c r="N78" s="3" t="s">
        <v>56</v>
      </c>
      <c r="O78" s="3" t="s">
        <v>70</v>
      </c>
      <c r="P78" s="3">
        <v>100000</v>
      </c>
      <c r="Q78" s="3">
        <v>200000</v>
      </c>
      <c r="R78" s="3" t="s">
        <v>71</v>
      </c>
      <c r="S78" s="3" t="s">
        <v>330</v>
      </c>
      <c r="T78" s="7">
        <v>46216</v>
      </c>
      <c r="U78" s="3" t="s">
        <v>356</v>
      </c>
      <c r="V78" s="6">
        <f>IF(E78="","",IFERROR(VLOOKUP(E78,Scoring_Lookups!$A$5:$B$18,2,FALSE()),0))</f>
        <v>7</v>
      </c>
      <c r="W78" s="6">
        <f t="shared" si="16"/>
        <v>10</v>
      </c>
      <c r="X78" s="6">
        <f>IF(C78="","",IFERROR(VLOOKUP(C78,Scoring_Lookups!$D$5:$E$35,2,FALSE()),0))</f>
        <v>12</v>
      </c>
      <c r="Y78" s="6">
        <f>IF(G78="","",IFERROR(VLOOKUP(G78,Scoring_Lookups!$G$5:$H$16,2,FALSE()),0))</f>
        <v>8</v>
      </c>
      <c r="Z78" s="6">
        <f t="shared" ca="1" si="17"/>
        <v>6</v>
      </c>
      <c r="AA78" s="6">
        <f ca="1">IF(N78="Yes",0,IF(A78="",0,IF(COUNTIFS('04_Triggers'!B:B,A78,'04_Triggers'!D:D,"&gt;="&amp;(TODAY()-365))&gt;=2,20,IF(COUNTIFS('04_Triggers'!B:B,A78,'04_Triggers'!D:D,"&gt;="&amp;(TODAY()-365),'04_Triggers'!G:G,"High")&gt;=1,14,IF(COUNTIFS('04_Triggers'!B:B,A78,'04_Triggers'!D:D,"&gt;="&amp;(TODAY()-365))&gt;=1,7,IF(COUNTIFS('04_Triggers'!B:B,A78,'04_Triggers'!D:D,"&gt;="&amp;(TODAY()-1095),'04_Triggers'!D:D,"&lt;"&amp;(TODAY()-365))&gt;=1,7,0))))))</f>
        <v>7</v>
      </c>
      <c r="AB78" s="6">
        <f>IF(M78="","",IFERROR(VLOOKUP(M78,Scoring_Lookups!$J$5:$K$16,2,FALSE()),0))</f>
        <v>3</v>
      </c>
      <c r="AC78" s="6">
        <f>IF(O78="","",IFERROR(VLOOKUP(O78,Scoring_Lookups!$M$5:$N$8,2,FALSE()),0))</f>
        <v>4</v>
      </c>
      <c r="AD78" s="6">
        <f>IF(L78="","",IFERROR(VLOOKUP(L78,Scoring_Lookups!$P$5:$Q$9,2,FALSE()),0))</f>
        <v>8</v>
      </c>
      <c r="AE78" s="6">
        <f t="shared" si="18"/>
        <v>10</v>
      </c>
      <c r="AF78" s="6">
        <f t="shared" ca="1" si="19"/>
        <v>75</v>
      </c>
      <c r="AG78" s="6" t="str">
        <f t="shared" si="20"/>
        <v>OK</v>
      </c>
      <c r="AH78" s="6" t="s">
        <v>56</v>
      </c>
      <c r="AI78" s="6" t="str">
        <f t="shared" ca="1" si="21"/>
        <v>Priority 2</v>
      </c>
      <c r="AJ78" s="3" t="str">
        <f t="shared" ca="1" si="22"/>
        <v>P1 Lending (Consumer)=7 | P2 100=10 | P3 Hungary=12 | P4 Credit Institution Licence=8 | P5 PE-controlled Stable=6 | P6=7 | P7 Incumbent Unknown=3 | P8 Cloud modern, Not API-first=4 | P9 Existing BIN Sponsor Relationship=8 | P10=10</v>
      </c>
      <c r="AK78" s="3"/>
      <c r="AL78" s="3" t="s">
        <v>61</v>
      </c>
      <c r="AM78" s="3" t="s">
        <v>56</v>
      </c>
      <c r="AN78" s="3"/>
      <c r="AO78" s="3" t="s">
        <v>92</v>
      </c>
      <c r="AP78" s="3" t="str">
        <f t="shared" si="23"/>
        <v>OK</v>
      </c>
      <c r="AQ78" s="3" t="s">
        <v>84</v>
      </c>
    </row>
    <row r="79" spans="1:43" ht="99.75" customHeight="1" x14ac:dyDescent="0.2">
      <c r="A79" s="3" t="s">
        <v>357</v>
      </c>
      <c r="B79" s="3" t="s">
        <v>358</v>
      </c>
      <c r="C79" s="3" t="s">
        <v>359</v>
      </c>
      <c r="D79" s="3" t="s">
        <v>48</v>
      </c>
      <c r="E79" s="3" t="s">
        <v>128</v>
      </c>
      <c r="F79" s="3">
        <v>1000</v>
      </c>
      <c r="G79" s="3" t="s">
        <v>136</v>
      </c>
      <c r="H79" s="3" t="s">
        <v>51</v>
      </c>
      <c r="I79" s="3" t="s">
        <v>247</v>
      </c>
      <c r="J79" s="3"/>
      <c r="K79" s="3" t="s">
        <v>137</v>
      </c>
      <c r="L79" s="3" t="s">
        <v>138</v>
      </c>
      <c r="M79" s="3" t="s">
        <v>144</v>
      </c>
      <c r="N79" s="3" t="s">
        <v>56</v>
      </c>
      <c r="O79" s="3" t="s">
        <v>57</v>
      </c>
      <c r="P79" s="3">
        <v>4000000</v>
      </c>
      <c r="Q79" s="3">
        <v>5000000</v>
      </c>
      <c r="R79" s="3" t="s">
        <v>71</v>
      </c>
      <c r="S79" s="3" t="s">
        <v>360</v>
      </c>
      <c r="T79" s="7">
        <v>46218</v>
      </c>
      <c r="U79" s="3" t="s">
        <v>361</v>
      </c>
      <c r="V79" s="6">
        <f>IF(E79="","",IFERROR(VLOOKUP(E79,Scoring_Lookups!$A$5:$B$18,2,FALSE()),0))</f>
        <v>4</v>
      </c>
      <c r="W79" s="6">
        <f t="shared" si="16"/>
        <v>10</v>
      </c>
      <c r="X79" s="6">
        <f>IF(C79="","",IFERROR(VLOOKUP(C79,Scoring_Lookups!$D$5:$E$35,2,FALSE()),0))</f>
        <v>5</v>
      </c>
      <c r="Y79" s="6">
        <f>IF(G79="","",IFERROR(VLOOKUP(G79,Scoring_Lookups!$G$5:$H$16,2,FALSE()),0))</f>
        <v>8</v>
      </c>
      <c r="Z79" s="6">
        <f t="shared" ca="1" si="17"/>
        <v>0</v>
      </c>
      <c r="AA79" s="6">
        <f ca="1">IF(N79="Yes",0,IF(A79="",0,IF(COUNTIFS('04_Triggers'!B:B,A79,'04_Triggers'!D:D,"&gt;="&amp;(TODAY()-365))&gt;=2,20,IF(COUNTIFS('04_Triggers'!B:B,A79,'04_Triggers'!D:D,"&gt;="&amp;(TODAY()-365),'04_Triggers'!G:G,"High")&gt;=1,14,IF(COUNTIFS('04_Triggers'!B:B,A79,'04_Triggers'!D:D,"&gt;="&amp;(TODAY()-365))&gt;=1,7,IF(COUNTIFS('04_Triggers'!B:B,A79,'04_Triggers'!D:D,"&gt;="&amp;(TODAY()-1095),'04_Triggers'!D:D,"&lt;"&amp;(TODAY()-365))&gt;=1,7,0))))))</f>
        <v>7</v>
      </c>
      <c r="AB79" s="6">
        <f>IF(M79="","",IFERROR(VLOOKUP(M79,Scoring_Lookups!$J$5:$K$16,2,FALSE()),0))</f>
        <v>8</v>
      </c>
      <c r="AC79" s="6">
        <f>IF(O79="","",IFERROR(VLOOKUP(O79,Scoring_Lookups!$M$5:$N$8,2,FALSE()),0))</f>
        <v>6</v>
      </c>
      <c r="AD79" s="6">
        <f>IF(L79="","",IFERROR(VLOOKUP(L79,Scoring_Lookups!$P$5:$Q$9,2,FALSE()),0))</f>
        <v>8</v>
      </c>
      <c r="AE79" s="6">
        <f t="shared" si="18"/>
        <v>10</v>
      </c>
      <c r="AF79" s="6">
        <f t="shared" ca="1" si="19"/>
        <v>66</v>
      </c>
      <c r="AG79" s="6" t="str">
        <f t="shared" si="20"/>
        <v>OK</v>
      </c>
      <c r="AH79" s="6" t="s">
        <v>56</v>
      </c>
      <c r="AI79" s="6" t="str">
        <f t="shared" ca="1" si="21"/>
        <v>Priority 2</v>
      </c>
      <c r="AJ79" s="3" t="str">
        <f t="shared" ca="1" si="22"/>
        <v>P1 Investment Management=4 | P2 1000=10 | P3 Germany=5 | P4 Credit Institution Licence=8 | P5 Series D+=0 | P6=7 | P7 Marqeta=8 | P8 Cloud-native (AWS/Azure/GCP), API-first, AI signals=6 | P9 Scheme Principal=8 | P10=10</v>
      </c>
      <c r="AK79" s="3"/>
      <c r="AL79" s="3" t="s">
        <v>61</v>
      </c>
      <c r="AM79" s="3" t="s">
        <v>56</v>
      </c>
      <c r="AN79" s="3"/>
      <c r="AO79" s="3" t="s">
        <v>92</v>
      </c>
      <c r="AP79" s="3" t="str">
        <f t="shared" si="23"/>
        <v>OK</v>
      </c>
      <c r="AQ79" s="4" t="s">
        <v>84</v>
      </c>
    </row>
    <row r="80" spans="1:43" ht="99.75" customHeight="1" x14ac:dyDescent="0.2">
      <c r="A80" s="3" t="s">
        <v>362</v>
      </c>
      <c r="B80" s="3" t="s">
        <v>363</v>
      </c>
      <c r="C80" s="3" t="s">
        <v>364</v>
      </c>
      <c r="D80" s="3" t="s">
        <v>48</v>
      </c>
      <c r="E80" s="3" t="s">
        <v>128</v>
      </c>
      <c r="F80" s="3">
        <v>422</v>
      </c>
      <c r="G80" s="3" t="s">
        <v>50</v>
      </c>
      <c r="H80" s="3" t="s">
        <v>68</v>
      </c>
      <c r="I80" s="3" t="s">
        <v>69</v>
      </c>
      <c r="J80" s="3"/>
      <c r="K80" s="3" t="s">
        <v>137</v>
      </c>
      <c r="L80" s="3" t="s">
        <v>138</v>
      </c>
      <c r="M80" s="3" t="s">
        <v>144</v>
      </c>
      <c r="N80" s="3" t="s">
        <v>56</v>
      </c>
      <c r="O80" s="3" t="s">
        <v>57</v>
      </c>
      <c r="P80" s="3">
        <v>500000</v>
      </c>
      <c r="Q80" s="3">
        <v>800000</v>
      </c>
      <c r="R80" s="3" t="s">
        <v>71</v>
      </c>
      <c r="S80" s="3" t="s">
        <v>360</v>
      </c>
      <c r="T80" s="7">
        <v>46218</v>
      </c>
      <c r="U80" s="3" t="s">
        <v>365</v>
      </c>
      <c r="V80" s="6">
        <f>IF(E80="","",IFERROR(VLOOKUP(E80,Scoring_Lookups!$A$5:$B$18,2,FALSE()),0))</f>
        <v>4</v>
      </c>
      <c r="W80" s="6">
        <f t="shared" si="16"/>
        <v>10</v>
      </c>
      <c r="X80" s="6">
        <f>IF(C80="","",IFERROR(VLOOKUP(C80,Scoring_Lookups!$D$5:$E$35,2,FALSE()),0))</f>
        <v>8</v>
      </c>
      <c r="Y80" s="6">
        <f>IF(G80="","",IFERROR(VLOOKUP(G80,Scoring_Lookups!$G$5:$H$16,2,FALSE()),0))</f>
        <v>6</v>
      </c>
      <c r="Z80" s="6">
        <f t="shared" ca="1" si="17"/>
        <v>6</v>
      </c>
      <c r="AA80" s="6">
        <f ca="1">IF(N80="Yes",0,IF(A80="",0,IF(COUNTIFS('04_Triggers'!B:B,A80,'04_Triggers'!D:D,"&gt;="&amp;(TODAY()-365))&gt;=2,20,IF(COUNTIFS('04_Triggers'!B:B,A80,'04_Triggers'!D:D,"&gt;="&amp;(TODAY()-365),'04_Triggers'!G:G,"High")&gt;=1,14,IF(COUNTIFS('04_Triggers'!B:B,A80,'04_Triggers'!D:D,"&gt;="&amp;(TODAY()-365))&gt;=1,7,IF(COUNTIFS('04_Triggers'!B:B,A80,'04_Triggers'!D:D,"&gt;="&amp;(TODAY()-1095),'04_Triggers'!D:D,"&lt;"&amp;(TODAY()-365))&gt;=1,7,0))))))</f>
        <v>20</v>
      </c>
      <c r="AB80" s="6">
        <f>IF(M80="","",IFERROR(VLOOKUP(M80,Scoring_Lookups!$J$5:$K$16,2,FALSE()),0))</f>
        <v>8</v>
      </c>
      <c r="AC80" s="6">
        <f>IF(O80="","",IFERROR(VLOOKUP(O80,Scoring_Lookups!$M$5:$N$8,2,FALSE()),0))</f>
        <v>6</v>
      </c>
      <c r="AD80" s="6">
        <f>IF(L80="","",IFERROR(VLOOKUP(L80,Scoring_Lookups!$P$5:$Q$9,2,FALSE()),0))</f>
        <v>8</v>
      </c>
      <c r="AE80" s="6">
        <f t="shared" si="18"/>
        <v>10</v>
      </c>
      <c r="AF80" s="6">
        <f t="shared" ca="1" si="19"/>
        <v>86</v>
      </c>
      <c r="AG80" s="6" t="str">
        <f t="shared" si="20"/>
        <v>OK</v>
      </c>
      <c r="AH80" s="6" t="s">
        <v>56</v>
      </c>
      <c r="AI80" s="6" t="str">
        <f t="shared" ca="1" si="21"/>
        <v>Priority 1</v>
      </c>
      <c r="AJ80" s="3" t="str">
        <f t="shared" ca="1" si="22"/>
        <v>P1 Investment Management=4 | P2 422=10 | P3 United Kingdom=8 | P4 PI Licence=6 | P5 Bootstrapped Profitable=6 | P6=20 | P7 Marqeta=8 | P8 Cloud-native (AWS/Azure/GCP), API-first, AI signals=6 | P9 Scheme Principal=8 | P10=10</v>
      </c>
      <c r="AK80" s="3"/>
      <c r="AL80" s="3" t="s">
        <v>61</v>
      </c>
      <c r="AM80" s="3" t="s">
        <v>56</v>
      </c>
      <c r="AN80" s="3"/>
      <c r="AO80" s="3" t="s">
        <v>92</v>
      </c>
      <c r="AP80" s="3" t="str">
        <f t="shared" si="23"/>
        <v>OK</v>
      </c>
      <c r="AQ80" s="3" t="s">
        <v>84</v>
      </c>
    </row>
    <row r="81" spans="1:43" ht="99.75" customHeight="1" x14ac:dyDescent="0.2">
      <c r="A81" s="3" t="s">
        <v>366</v>
      </c>
      <c r="B81" s="3" t="s">
        <v>367</v>
      </c>
      <c r="C81" s="3" t="s">
        <v>364</v>
      </c>
      <c r="D81" s="3" t="s">
        <v>48</v>
      </c>
      <c r="E81" s="3" t="s">
        <v>128</v>
      </c>
      <c r="F81" s="3">
        <v>49</v>
      </c>
      <c r="G81" s="3" t="s">
        <v>50</v>
      </c>
      <c r="H81" s="3" t="s">
        <v>51</v>
      </c>
      <c r="I81" s="3" t="s">
        <v>368</v>
      </c>
      <c r="J81" s="3">
        <v>45962</v>
      </c>
      <c r="K81" s="3" t="s">
        <v>184</v>
      </c>
      <c r="L81" s="3" t="s">
        <v>54</v>
      </c>
      <c r="M81" s="3" t="s">
        <v>55</v>
      </c>
      <c r="N81" s="3" t="s">
        <v>56</v>
      </c>
      <c r="O81" s="3" t="s">
        <v>57</v>
      </c>
      <c r="P81" s="3">
        <v>0</v>
      </c>
      <c r="Q81" s="3">
        <v>50000</v>
      </c>
      <c r="R81" s="3" t="s">
        <v>71</v>
      </c>
      <c r="S81" s="3" t="s">
        <v>369</v>
      </c>
      <c r="T81" s="7">
        <v>46218</v>
      </c>
      <c r="U81" s="3" t="s">
        <v>370</v>
      </c>
      <c r="V81" s="6">
        <f>IF(E81="","",IFERROR(VLOOKUP(E81,Scoring_Lookups!$A$5:$B$18,2,FALSE()),0))</f>
        <v>4</v>
      </c>
      <c r="W81" s="6">
        <f t="shared" si="16"/>
        <v>7</v>
      </c>
      <c r="X81" s="6">
        <f>IF(C81="","",IFERROR(VLOOKUP(C81,Scoring_Lookups!$D$5:$E$35,2,FALSE()),0))</f>
        <v>8</v>
      </c>
      <c r="Y81" s="6">
        <f>IF(G81="","",IFERROR(VLOOKUP(G81,Scoring_Lookups!$G$5:$H$16,2,FALSE()),0))</f>
        <v>6</v>
      </c>
      <c r="Z81" s="6">
        <f t="shared" ca="1" si="17"/>
        <v>8</v>
      </c>
      <c r="AA81" s="6">
        <f ca="1">IF(N81="Yes",0,IF(A81="",0,IF(COUNTIFS('04_Triggers'!B:B,A81,'04_Triggers'!D:D,"&gt;="&amp;(TODAY()-365))&gt;=2,20,IF(COUNTIFS('04_Triggers'!B:B,A81,'04_Triggers'!D:D,"&gt;="&amp;(TODAY()-365),'04_Triggers'!G:G,"High")&gt;=1,14,IF(COUNTIFS('04_Triggers'!B:B,A81,'04_Triggers'!D:D,"&gt;="&amp;(TODAY()-365))&gt;=1,7,IF(COUNTIFS('04_Triggers'!B:B,A81,'04_Triggers'!D:D,"&gt;="&amp;(TODAY()-1095),'04_Triggers'!D:D,"&lt;"&amp;(TODAY()-365))&gt;=1,7,0))))))</f>
        <v>14</v>
      </c>
      <c r="AB81" s="6">
        <f>IF(M81="","",IFERROR(VLOOKUP(M81,Scoring_Lookups!$J$5:$K$16,2,FALSE()),0))</f>
        <v>4</v>
      </c>
      <c r="AC81" s="6">
        <f>IF(O81="","",IFERROR(VLOOKUP(O81,Scoring_Lookups!$M$5:$N$8,2,FALSE()),0))</f>
        <v>6</v>
      </c>
      <c r="AD81" s="6">
        <f>IF(L81="","",IFERROR(VLOOKUP(L81,Scoring_Lookups!$P$5:$Q$9,2,FALSE()),0))</f>
        <v>3</v>
      </c>
      <c r="AE81" s="6">
        <f t="shared" si="18"/>
        <v>10</v>
      </c>
      <c r="AF81" s="6">
        <f t="shared" ca="1" si="19"/>
        <v>70</v>
      </c>
      <c r="AG81" s="6" t="str">
        <f t="shared" si="20"/>
        <v>OK</v>
      </c>
      <c r="AH81" s="6" t="s">
        <v>56</v>
      </c>
      <c r="AI81" s="6" t="str">
        <f t="shared" ca="1" si="21"/>
        <v>Priority 2</v>
      </c>
      <c r="AJ81" s="3" t="str">
        <f t="shared" ca="1" si="22"/>
        <v>P1 Investment Management=4 | P2 49=7 | P3 United Kingdom=8 | P4 PI Licence=6 | P5 Series B=8 | P6=14 | P7 Planning to Launch (No Incumbent Yet)=4 | P8 Cloud-native (AWS/Azure/GCP), API-first, AI signals=6 | P9 No Sponsor, Licensing Suggests Imminent=3 | P10=10</v>
      </c>
      <c r="AK81" s="3"/>
      <c r="AL81" s="3" t="s">
        <v>61</v>
      </c>
      <c r="AM81" s="3" t="s">
        <v>56</v>
      </c>
      <c r="AN81" s="3"/>
      <c r="AO81" s="3" t="s">
        <v>73</v>
      </c>
      <c r="AP81" s="3" t="str">
        <f t="shared" si="23"/>
        <v>OK</v>
      </c>
      <c r="AQ81" s="4" t="s">
        <v>84</v>
      </c>
    </row>
    <row r="82" spans="1:43" ht="99.75" customHeight="1" x14ac:dyDescent="0.2">
      <c r="A82" s="3" t="s">
        <v>371</v>
      </c>
      <c r="B82" s="3" t="s">
        <v>372</v>
      </c>
      <c r="C82" s="3" t="s">
        <v>373</v>
      </c>
      <c r="D82" s="3" t="s">
        <v>48</v>
      </c>
      <c r="E82" s="3" t="s">
        <v>166</v>
      </c>
      <c r="F82" s="3">
        <v>700</v>
      </c>
      <c r="G82" s="3" t="s">
        <v>175</v>
      </c>
      <c r="H82" s="3" t="s">
        <v>51</v>
      </c>
      <c r="I82" s="3" t="s">
        <v>374</v>
      </c>
      <c r="J82" s="3"/>
      <c r="K82" s="3" t="s">
        <v>137</v>
      </c>
      <c r="L82" s="3" t="s">
        <v>138</v>
      </c>
      <c r="M82" s="3" t="s">
        <v>144</v>
      </c>
      <c r="N82" s="3" t="s">
        <v>56</v>
      </c>
      <c r="O82" s="3" t="s">
        <v>57</v>
      </c>
      <c r="P82" s="3">
        <v>500000</v>
      </c>
      <c r="Q82" s="3">
        <v>1000000</v>
      </c>
      <c r="R82" s="3" t="s">
        <v>71</v>
      </c>
      <c r="S82" s="3" t="s">
        <v>360</v>
      </c>
      <c r="T82" s="7">
        <v>46218</v>
      </c>
      <c r="U82" s="3" t="s">
        <v>375</v>
      </c>
      <c r="V82" s="6">
        <f>IF(E82="","",IFERROR(VLOOKUP(E82,Scoring_Lookups!$A$5:$B$18,2,FALSE()),0))</f>
        <v>4</v>
      </c>
      <c r="W82" s="6">
        <f t="shared" si="16"/>
        <v>10</v>
      </c>
      <c r="X82" s="6">
        <f>IF(C82="","",IFERROR(VLOOKUP(C82,Scoring_Lookups!$D$5:$E$35,2,FALSE()),0))</f>
        <v>8</v>
      </c>
      <c r="Y82" s="6">
        <f>IF(G82="","",IFERROR(VLOOKUP(G82,Scoring_Lookups!$G$5:$H$16,2,FALSE()),0))</f>
        <v>8</v>
      </c>
      <c r="Z82" s="6">
        <f t="shared" ca="1" si="17"/>
        <v>0</v>
      </c>
      <c r="AA82" s="6">
        <f ca="1">IF(N82="Yes",0,IF(A82="",0,IF(COUNTIFS('04_Triggers'!B:B,A82,'04_Triggers'!D:D,"&gt;="&amp;(TODAY()-365))&gt;=2,20,IF(COUNTIFS('04_Triggers'!B:B,A82,'04_Triggers'!D:D,"&gt;="&amp;(TODAY()-365),'04_Triggers'!G:G,"High")&gt;=1,14,IF(COUNTIFS('04_Triggers'!B:B,A82,'04_Triggers'!D:D,"&gt;="&amp;(TODAY()-365))&gt;=1,7,IF(COUNTIFS('04_Triggers'!B:B,A82,'04_Triggers'!D:D,"&gt;="&amp;(TODAY()-1095),'04_Triggers'!D:D,"&lt;"&amp;(TODAY()-365))&gt;=1,7,0))))))</f>
        <v>14</v>
      </c>
      <c r="AB82" s="6">
        <f>IF(M82="","",IFERROR(VLOOKUP(M82,Scoring_Lookups!$J$5:$K$16,2,FALSE()),0))</f>
        <v>8</v>
      </c>
      <c r="AC82" s="6">
        <f>IF(O82="","",IFERROR(VLOOKUP(O82,Scoring_Lookups!$M$5:$N$8,2,FALSE()),0))</f>
        <v>6</v>
      </c>
      <c r="AD82" s="6">
        <f>IF(L82="","",IFERROR(VLOOKUP(L82,Scoring_Lookups!$P$5:$Q$9,2,FALSE()),0))</f>
        <v>8</v>
      </c>
      <c r="AE82" s="6">
        <f t="shared" si="18"/>
        <v>10</v>
      </c>
      <c r="AF82" s="6">
        <f t="shared" ca="1" si="19"/>
        <v>76</v>
      </c>
      <c r="AG82" s="6" t="str">
        <f t="shared" si="20"/>
        <v>OK</v>
      </c>
      <c r="AH82" s="6" t="s">
        <v>56</v>
      </c>
      <c r="AI82" s="6" t="str">
        <f t="shared" ca="1" si="21"/>
        <v>Priority 2</v>
      </c>
      <c r="AJ82" s="3" t="str">
        <f t="shared" ca="1" si="22"/>
        <v>P1 Crypto=4 | P2 700=10 | P3 Austria=8 | P4 EMI Licence=8 | P5 Series C=0 | P6=14 | P7 Marqeta=8 | P8 Cloud-native (AWS/Azure/GCP), API-first, AI signals=6 | P9 Scheme Principal=8 | P10=10</v>
      </c>
      <c r="AK82" s="3"/>
      <c r="AL82" s="3" t="s">
        <v>61</v>
      </c>
      <c r="AM82" s="3" t="s">
        <v>56</v>
      </c>
      <c r="AN82" s="3"/>
      <c r="AO82" s="3" t="s">
        <v>92</v>
      </c>
      <c r="AP82" s="3" t="str">
        <f t="shared" si="23"/>
        <v>OK</v>
      </c>
      <c r="AQ82" s="3" t="s">
        <v>84</v>
      </c>
    </row>
    <row r="83" spans="1:43" ht="99.75" customHeight="1" x14ac:dyDescent="0.2">
      <c r="A83" s="3" t="s">
        <v>376</v>
      </c>
      <c r="B83" s="3" t="s">
        <v>377</v>
      </c>
      <c r="C83" s="3" t="s">
        <v>364</v>
      </c>
      <c r="D83" s="3" t="s">
        <v>48</v>
      </c>
      <c r="E83" s="3" t="s">
        <v>128</v>
      </c>
      <c r="F83" s="3">
        <v>1500</v>
      </c>
      <c r="G83" s="3" t="s">
        <v>50</v>
      </c>
      <c r="H83" s="3" t="s">
        <v>81</v>
      </c>
      <c r="I83" s="3" t="s">
        <v>322</v>
      </c>
      <c r="J83" s="3"/>
      <c r="K83" s="3" t="s">
        <v>137</v>
      </c>
      <c r="L83" s="3" t="s">
        <v>138</v>
      </c>
      <c r="M83" s="3" t="s">
        <v>89</v>
      </c>
      <c r="N83" s="3" t="s">
        <v>56</v>
      </c>
      <c r="O83" s="3" t="s">
        <v>57</v>
      </c>
      <c r="P83" s="3">
        <v>200000</v>
      </c>
      <c r="Q83" s="3">
        <v>500000</v>
      </c>
      <c r="R83" s="3" t="s">
        <v>71</v>
      </c>
      <c r="S83" s="3" t="s">
        <v>369</v>
      </c>
      <c r="T83" s="7">
        <v>46218</v>
      </c>
      <c r="U83" s="3" t="s">
        <v>378</v>
      </c>
      <c r="V83" s="6">
        <f>IF(E83="","",IFERROR(VLOOKUP(E83,Scoring_Lookups!$A$5:$B$18,2,FALSE()),0))</f>
        <v>4</v>
      </c>
      <c r="W83" s="6">
        <f t="shared" si="16"/>
        <v>7</v>
      </c>
      <c r="X83" s="6">
        <f>IF(C83="","",IFERROR(VLOOKUP(C83,Scoring_Lookups!$D$5:$E$35,2,FALSE()),0))</f>
        <v>8</v>
      </c>
      <c r="Y83" s="6">
        <f>IF(G83="","",IFERROR(VLOOKUP(G83,Scoring_Lookups!$G$5:$H$16,2,FALSE()),0))</f>
        <v>6</v>
      </c>
      <c r="Z83" s="6">
        <f t="shared" ca="1" si="17"/>
        <v>8</v>
      </c>
      <c r="AA83" s="6">
        <f ca="1">IF(N83="Yes",0,IF(A83="",0,IF(COUNTIFS('04_Triggers'!B:B,A83,'04_Triggers'!D:D,"&gt;="&amp;(TODAY()-365))&gt;=2,20,IF(COUNTIFS('04_Triggers'!B:B,A83,'04_Triggers'!D:D,"&gt;="&amp;(TODAY()-365),'04_Triggers'!G:G,"High")&gt;=1,14,IF(COUNTIFS('04_Triggers'!B:B,A83,'04_Triggers'!D:D,"&gt;="&amp;(TODAY()-365))&gt;=1,7,IF(COUNTIFS('04_Triggers'!B:B,A83,'04_Triggers'!D:D,"&gt;="&amp;(TODAY()-1095),'04_Triggers'!D:D,"&lt;"&amp;(TODAY()-365))&gt;=1,7,0))))))</f>
        <v>7</v>
      </c>
      <c r="AB83" s="6">
        <f>IF(M83="","",IFERROR(VLOOKUP(M83,Scoring_Lookups!$J$5:$K$16,2,FALSE()),0))</f>
        <v>3</v>
      </c>
      <c r="AC83" s="6">
        <f>IF(O83="","",IFERROR(VLOOKUP(O83,Scoring_Lookups!$M$5:$N$8,2,FALSE()),0))</f>
        <v>6</v>
      </c>
      <c r="AD83" s="6">
        <f>IF(L83="","",IFERROR(VLOOKUP(L83,Scoring_Lookups!$P$5:$Q$9,2,FALSE()),0))</f>
        <v>8</v>
      </c>
      <c r="AE83" s="6">
        <f t="shared" si="18"/>
        <v>10</v>
      </c>
      <c r="AF83" s="6">
        <f t="shared" ca="1" si="19"/>
        <v>67</v>
      </c>
      <c r="AG83" s="6" t="str">
        <f t="shared" si="20"/>
        <v>OK</v>
      </c>
      <c r="AH83" s="6" t="s">
        <v>56</v>
      </c>
      <c r="AI83" s="6" t="str">
        <f t="shared" ca="1" si="21"/>
        <v>Priority 2</v>
      </c>
      <c r="AJ83" s="3" t="str">
        <f t="shared" ca="1" si="22"/>
        <v>P1 Investment Management=4 | P2 1500=7 | P3 United Kingdom=8 | P4 PI Licence=6 | P5 Listed with Growth Profile=8 | P6=7 | P7 Incumbent Unknown=3 | P8 Cloud-native (AWS/Azure/GCP), API-first, AI signals=6 | P9 Scheme Principal=8 | P10=10</v>
      </c>
      <c r="AK83" s="3"/>
      <c r="AL83" s="3" t="s">
        <v>61</v>
      </c>
      <c r="AM83" s="3" t="s">
        <v>56</v>
      </c>
      <c r="AN83" s="3"/>
      <c r="AO83" s="3" t="s">
        <v>92</v>
      </c>
      <c r="AP83" s="3" t="str">
        <f t="shared" si="23"/>
        <v>OK</v>
      </c>
      <c r="AQ83" s="4" t="s">
        <v>84</v>
      </c>
    </row>
    <row r="84" spans="1:43" ht="99.75" customHeight="1" x14ac:dyDescent="0.2">
      <c r="A84" s="3" t="s">
        <v>379</v>
      </c>
      <c r="B84" s="3" t="s">
        <v>380</v>
      </c>
      <c r="C84" s="3" t="s">
        <v>381</v>
      </c>
      <c r="D84" s="3" t="s">
        <v>48</v>
      </c>
      <c r="E84" s="3" t="s">
        <v>49</v>
      </c>
      <c r="F84" s="3">
        <v>4000</v>
      </c>
      <c r="G84" s="3" t="s">
        <v>50</v>
      </c>
      <c r="H84" s="3" t="s">
        <v>51</v>
      </c>
      <c r="I84" s="3" t="s">
        <v>247</v>
      </c>
      <c r="J84" s="3"/>
      <c r="K84" s="3" t="s">
        <v>53</v>
      </c>
      <c r="L84" s="3" t="s">
        <v>77</v>
      </c>
      <c r="M84" s="3" t="s">
        <v>89</v>
      </c>
      <c r="N84" s="3" t="s">
        <v>56</v>
      </c>
      <c r="O84" s="3" t="s">
        <v>57</v>
      </c>
      <c r="P84" s="3">
        <v>100000</v>
      </c>
      <c r="Q84" s="3">
        <v>500000</v>
      </c>
      <c r="R84" s="3" t="s">
        <v>71</v>
      </c>
      <c r="S84" s="3" t="s">
        <v>382</v>
      </c>
      <c r="T84" s="7">
        <v>46218</v>
      </c>
      <c r="U84" s="3" t="s">
        <v>383</v>
      </c>
      <c r="V84" s="6">
        <f>IF(E84="","",IFERROR(VLOOKUP(E84,Scoring_Lookups!$A$5:$B$18,2,FALSE()),0))</f>
        <v>4</v>
      </c>
      <c r="W84" s="6">
        <f t="shared" si="16"/>
        <v>4</v>
      </c>
      <c r="X84" s="6">
        <f>IF(C84="","",IFERROR(VLOOKUP(C84,Scoring_Lookups!$D$5:$E$35,2,FALSE()),0))</f>
        <v>5</v>
      </c>
      <c r="Y84" s="6">
        <f>IF(G84="","",IFERROR(VLOOKUP(G84,Scoring_Lookups!$G$5:$H$16,2,FALSE()),0))</f>
        <v>6</v>
      </c>
      <c r="Z84" s="6">
        <f t="shared" ca="1" si="17"/>
        <v>0</v>
      </c>
      <c r="AA84" s="6">
        <f ca="1">IF(N84="Yes",0,IF(A84="",0,IF(COUNTIFS('04_Triggers'!B:B,A84,'04_Triggers'!D:D,"&gt;="&amp;(TODAY()-365))&gt;=2,20,IF(COUNTIFS('04_Triggers'!B:B,A84,'04_Triggers'!D:D,"&gt;="&amp;(TODAY()-365),'04_Triggers'!G:G,"High")&gt;=1,14,IF(COUNTIFS('04_Triggers'!B:B,A84,'04_Triggers'!D:D,"&gt;="&amp;(TODAY()-365))&gt;=1,7,IF(COUNTIFS('04_Triggers'!B:B,A84,'04_Triggers'!D:D,"&gt;="&amp;(TODAY()-1095),'04_Triggers'!D:D,"&lt;"&amp;(TODAY()-365))&gt;=1,7,0))))))</f>
        <v>20</v>
      </c>
      <c r="AB84" s="6">
        <f>IF(M84="","",IFERROR(VLOOKUP(M84,Scoring_Lookups!$J$5:$K$16,2,FALSE()),0))</f>
        <v>3</v>
      </c>
      <c r="AC84" s="6">
        <f>IF(O84="","",IFERROR(VLOOKUP(O84,Scoring_Lookups!$M$5:$N$8,2,FALSE()),0))</f>
        <v>6</v>
      </c>
      <c r="AD84" s="6">
        <f>IF(L84="","",IFERROR(VLOOKUP(L84,Scoring_Lookups!$P$5:$Q$9,2,FALSE()),0))</f>
        <v>8</v>
      </c>
      <c r="AE84" s="6">
        <f t="shared" si="18"/>
        <v>10</v>
      </c>
      <c r="AF84" s="6">
        <f t="shared" ca="1" si="19"/>
        <v>66</v>
      </c>
      <c r="AG84" s="6" t="str">
        <f t="shared" si="20"/>
        <v>OK</v>
      </c>
      <c r="AH84" s="6" t="s">
        <v>56</v>
      </c>
      <c r="AI84" s="6" t="str">
        <f t="shared" ca="1" si="21"/>
        <v>Priority 2</v>
      </c>
      <c r="AJ84" s="3" t="str">
        <f t="shared" ca="1" si="22"/>
        <v>P1 Payments=4 | P2 4000=4 | P3 Estonia=5 | P4 PI Licence=6 | P5 Series D+=0 | P6=20 | P7 Incumbent Unknown=3 | P8 Cloud-native (AWS/Azure/GCP), API-first, AI signals=6 | P9 Existing BIN Sponsor Relationship=8 | P10=10</v>
      </c>
      <c r="AK84" s="3"/>
      <c r="AL84" s="3" t="s">
        <v>61</v>
      </c>
      <c r="AM84" s="3" t="s">
        <v>56</v>
      </c>
      <c r="AN84" s="3"/>
      <c r="AO84" s="3" t="s">
        <v>92</v>
      </c>
      <c r="AP84" s="3" t="str">
        <f t="shared" si="23"/>
        <v>OK</v>
      </c>
      <c r="AQ84" s="3" t="s">
        <v>107</v>
      </c>
    </row>
    <row r="85" spans="1:43" ht="99.75" hidden="1" customHeight="1" x14ac:dyDescent="0.2">
      <c r="A85" s="3" t="s">
        <v>384</v>
      </c>
      <c r="B85" s="3" t="s">
        <v>385</v>
      </c>
      <c r="C85" s="3" t="s">
        <v>386</v>
      </c>
      <c r="D85" s="3" t="s">
        <v>48</v>
      </c>
      <c r="E85" s="3" t="s">
        <v>49</v>
      </c>
      <c r="F85" s="3">
        <v>2000</v>
      </c>
      <c r="G85" s="3" t="s">
        <v>175</v>
      </c>
      <c r="H85" s="3" t="s">
        <v>96</v>
      </c>
      <c r="I85" s="3" t="s">
        <v>143</v>
      </c>
      <c r="J85" s="3"/>
      <c r="K85" s="3" t="s">
        <v>184</v>
      </c>
      <c r="L85" s="3" t="s">
        <v>54</v>
      </c>
      <c r="M85" s="3" t="s">
        <v>55</v>
      </c>
      <c r="N85" s="3" t="s">
        <v>56</v>
      </c>
      <c r="O85" s="3" t="s">
        <v>57</v>
      </c>
      <c r="P85" s="3">
        <v>0</v>
      </c>
      <c r="Q85" s="3">
        <v>100000</v>
      </c>
      <c r="R85" s="3" t="s">
        <v>71</v>
      </c>
      <c r="S85" s="3" t="s">
        <v>382</v>
      </c>
      <c r="T85" s="7">
        <v>46218</v>
      </c>
      <c r="U85" s="3" t="s">
        <v>387</v>
      </c>
      <c r="V85" s="6">
        <f>IF(E85="","",IFERROR(VLOOKUP(E85,Scoring_Lookups!$A$5:$B$18,2,FALSE()),0))</f>
        <v>4</v>
      </c>
      <c r="W85" s="6">
        <f t="shared" si="16"/>
        <v>7</v>
      </c>
      <c r="X85" s="6">
        <f>IF(C85="","",IFERROR(VLOOKUP(C85,Scoring_Lookups!$D$5:$E$35,2,FALSE()),0))</f>
        <v>5</v>
      </c>
      <c r="Y85" s="6">
        <f>IF(G85="","",IFERROR(VLOOKUP(G85,Scoring_Lookups!$G$5:$H$16,2,FALSE()),0))</f>
        <v>8</v>
      </c>
      <c r="Z85" s="6">
        <f t="shared" ca="1" si="17"/>
        <v>8</v>
      </c>
      <c r="AA85" s="6">
        <f ca="1">IF(N85="Yes",0,IF(A85="",0,IF(COUNTIFS('04_Triggers'!B:B,A85,'04_Triggers'!D:D,"&gt;="&amp;(TODAY()-365))&gt;=2,20,IF(COUNTIFS('04_Triggers'!B:B,A85,'04_Triggers'!D:D,"&gt;="&amp;(TODAY()-365),'04_Triggers'!G:G,"High")&gt;=1,14,IF(COUNTIFS('04_Triggers'!B:B,A85,'04_Triggers'!D:D,"&gt;="&amp;(TODAY()-365))&gt;=1,7,IF(COUNTIFS('04_Triggers'!B:B,A85,'04_Triggers'!D:D,"&gt;="&amp;(TODAY()-1095),'04_Triggers'!D:D,"&lt;"&amp;(TODAY()-365))&gt;=1,7,0))))))</f>
        <v>14</v>
      </c>
      <c r="AB85" s="6">
        <f>IF(M85="","",IFERROR(VLOOKUP(M85,Scoring_Lookups!$J$5:$K$16,2,FALSE()),0))</f>
        <v>4</v>
      </c>
      <c r="AC85" s="6">
        <f>IF(O85="","",IFERROR(VLOOKUP(O85,Scoring_Lookups!$M$5:$N$8,2,FALSE()),0))</f>
        <v>6</v>
      </c>
      <c r="AD85" s="6">
        <f>IF(L85="","",IFERROR(VLOOKUP(L85,Scoring_Lookups!$P$5:$Q$9,2,FALSE()),0))</f>
        <v>3</v>
      </c>
      <c r="AE85" s="6">
        <f t="shared" si="18"/>
        <v>10</v>
      </c>
      <c r="AF85" s="6">
        <f t="shared" ca="1" si="19"/>
        <v>69</v>
      </c>
      <c r="AG85" s="6" t="str">
        <f t="shared" si="20"/>
        <v>OK</v>
      </c>
      <c r="AH85" s="6" t="s">
        <v>56</v>
      </c>
      <c r="AI85" s="6" t="str">
        <f t="shared" ca="1" si="21"/>
        <v>Priority 2</v>
      </c>
      <c r="AJ85" s="3" t="str">
        <f t="shared" ca="1" si="22"/>
        <v>P1 Payments=4 | P2 2000=7 | P3 Finland=5 | P4 EMI Licence=8 | P5 PE-controlled Growth Mandate=8 | P6=14 | P7 Planning to Launch (No Incumbent Yet)=4 | P8 Cloud-native (AWS/Azure/GCP), API-first, AI signals=6 | P9 No Sponsor, Licensing Suggests Imminent=3 | P10=10</v>
      </c>
      <c r="AK85" s="3"/>
      <c r="AL85" s="3" t="s">
        <v>61</v>
      </c>
      <c r="AM85" s="3" t="s">
        <v>56</v>
      </c>
      <c r="AN85" s="3"/>
      <c r="AO85" s="3" t="s">
        <v>388</v>
      </c>
      <c r="AP85" s="3" t="str">
        <f t="shared" si="23"/>
        <v>Watch</v>
      </c>
      <c r="AQ85" s="4" t="s">
        <v>63</v>
      </c>
    </row>
    <row r="86" spans="1:43" ht="99.75" customHeight="1" x14ac:dyDescent="0.2">
      <c r="A86" s="3" t="s">
        <v>389</v>
      </c>
      <c r="B86" s="3" t="s">
        <v>390</v>
      </c>
      <c r="C86" s="3" t="s">
        <v>391</v>
      </c>
      <c r="D86" s="3" t="s">
        <v>48</v>
      </c>
      <c r="E86" s="3" t="s">
        <v>254</v>
      </c>
      <c r="F86" s="3">
        <v>1000</v>
      </c>
      <c r="G86" s="3" t="s">
        <v>175</v>
      </c>
      <c r="H86" s="3" t="s">
        <v>51</v>
      </c>
      <c r="I86" s="3" t="s">
        <v>247</v>
      </c>
      <c r="J86" s="3"/>
      <c r="K86" s="3" t="s">
        <v>53</v>
      </c>
      <c r="L86" s="3" t="s">
        <v>77</v>
      </c>
      <c r="M86" s="3" t="s">
        <v>392</v>
      </c>
      <c r="N86" s="3" t="s">
        <v>56</v>
      </c>
      <c r="O86" s="3" t="s">
        <v>57</v>
      </c>
      <c r="P86" s="3">
        <v>98000</v>
      </c>
      <c r="Q86" s="3">
        <v>200000</v>
      </c>
      <c r="R86" s="3" t="s">
        <v>71</v>
      </c>
      <c r="S86" s="3" t="s">
        <v>393</v>
      </c>
      <c r="T86" s="7">
        <v>46218</v>
      </c>
      <c r="U86" s="3" t="s">
        <v>394</v>
      </c>
      <c r="V86" s="6">
        <f>IF(E86="","",IFERROR(VLOOKUP(E86,Scoring_Lookups!$A$5:$B$18,2,FALSE()),0))</f>
        <v>7</v>
      </c>
      <c r="W86" s="6">
        <f t="shared" si="16"/>
        <v>10</v>
      </c>
      <c r="X86" s="6">
        <f>IF(C86="","",IFERROR(VLOOKUP(C86,Scoring_Lookups!$D$5:$E$35,2,FALSE()),0))</f>
        <v>5</v>
      </c>
      <c r="Y86" s="6">
        <f>IF(G86="","",IFERROR(VLOOKUP(G86,Scoring_Lookups!$G$5:$H$16,2,FALSE()),0))</f>
        <v>8</v>
      </c>
      <c r="Z86" s="6">
        <f t="shared" ca="1" si="17"/>
        <v>0</v>
      </c>
      <c r="AA86" s="6">
        <f ca="1">IF(N86="Yes",0,IF(A86="",0,IF(COUNTIFS('04_Triggers'!B:B,A86,'04_Triggers'!D:D,"&gt;="&amp;(TODAY()-365))&gt;=2,20,IF(COUNTIFS('04_Triggers'!B:B,A86,'04_Triggers'!D:D,"&gt;="&amp;(TODAY()-365),'04_Triggers'!G:G,"High")&gt;=1,14,IF(COUNTIFS('04_Triggers'!B:B,A86,'04_Triggers'!D:D,"&gt;="&amp;(TODAY()-365))&gt;=1,7,IF(COUNTIFS('04_Triggers'!B:B,A86,'04_Triggers'!D:D,"&gt;="&amp;(TODAY()-1095),'04_Triggers'!D:D,"&lt;"&amp;(TODAY()-365))&gt;=1,7,0))))))</f>
        <v>0</v>
      </c>
      <c r="AB86" s="6">
        <f>IF(M86="","",IFERROR(VLOOKUP(M86,Scoring_Lookups!$J$5:$K$16,2,FALSE()),0))</f>
        <v>8</v>
      </c>
      <c r="AC86" s="6">
        <f>IF(O86="","",IFERROR(VLOOKUP(O86,Scoring_Lookups!$M$5:$N$8,2,FALSE()),0))</f>
        <v>6</v>
      </c>
      <c r="AD86" s="6">
        <f>IF(L86="","",IFERROR(VLOOKUP(L86,Scoring_Lookups!$P$5:$Q$9,2,FALSE()),0))</f>
        <v>8</v>
      </c>
      <c r="AE86" s="6">
        <f t="shared" si="18"/>
        <v>10</v>
      </c>
      <c r="AF86" s="6">
        <f t="shared" ca="1" si="19"/>
        <v>62</v>
      </c>
      <c r="AG86" s="6" t="str">
        <f t="shared" si="20"/>
        <v>OK</v>
      </c>
      <c r="AH86" s="6" t="s">
        <v>56</v>
      </c>
      <c r="AI86" s="6" t="str">
        <f t="shared" ca="1" si="21"/>
        <v>Priority 2</v>
      </c>
      <c r="AJ86" s="3" t="str">
        <f t="shared" ca="1" si="22"/>
        <v>P1 Expense Management=7 | P2 1000=10 | P3 Denmark=5 | P4 EMI Licence=8 | P5 Series D+=0 | P6=0 | P7 Enfuce=8 | P8 Cloud-native (AWS/Azure/GCP), API-first, AI signals=6 | P9 Existing BIN Sponsor Relationship=8 | P10=10</v>
      </c>
      <c r="AK86" s="3"/>
      <c r="AL86" s="3" t="s">
        <v>61</v>
      </c>
      <c r="AM86" s="3" t="s">
        <v>56</v>
      </c>
      <c r="AN86" s="3"/>
      <c r="AO86" s="3" t="s">
        <v>92</v>
      </c>
      <c r="AP86" s="3" t="str">
        <f t="shared" si="23"/>
        <v>OK</v>
      </c>
      <c r="AQ86" s="3" t="s">
        <v>63</v>
      </c>
    </row>
    <row r="87" spans="1:43" ht="99.75" customHeight="1" x14ac:dyDescent="0.2">
      <c r="A87" s="3" t="s">
        <v>395</v>
      </c>
      <c r="B87" s="3" t="s">
        <v>396</v>
      </c>
      <c r="C87" s="3" t="s">
        <v>364</v>
      </c>
      <c r="D87" s="3" t="s">
        <v>48</v>
      </c>
      <c r="E87" s="3" t="s">
        <v>254</v>
      </c>
      <c r="F87" s="3">
        <v>462</v>
      </c>
      <c r="G87" s="3" t="s">
        <v>175</v>
      </c>
      <c r="H87" s="3" t="s">
        <v>51</v>
      </c>
      <c r="I87" s="3" t="s">
        <v>374</v>
      </c>
      <c r="J87" s="3"/>
      <c r="K87" s="3" t="s">
        <v>397</v>
      </c>
      <c r="L87" s="3" t="s">
        <v>114</v>
      </c>
      <c r="M87" s="3" t="s">
        <v>89</v>
      </c>
      <c r="N87" s="3" t="s">
        <v>56</v>
      </c>
      <c r="O87" s="3" t="s">
        <v>57</v>
      </c>
      <c r="P87" s="3">
        <v>100000</v>
      </c>
      <c r="Q87" s="3">
        <v>200000</v>
      </c>
      <c r="R87" s="3" t="s">
        <v>71</v>
      </c>
      <c r="S87" s="3" t="s">
        <v>398</v>
      </c>
      <c r="T87" s="7">
        <v>46218</v>
      </c>
      <c r="U87" s="3" t="s">
        <v>399</v>
      </c>
      <c r="V87" s="6">
        <f>IF(E87="","",IFERROR(VLOOKUP(E87,Scoring_Lookups!$A$5:$B$18,2,FALSE()),0))</f>
        <v>7</v>
      </c>
      <c r="W87" s="6">
        <f t="shared" si="16"/>
        <v>10</v>
      </c>
      <c r="X87" s="6">
        <f>IF(C87="","",IFERROR(VLOOKUP(C87,Scoring_Lookups!$D$5:$E$35,2,FALSE()),0))</f>
        <v>8</v>
      </c>
      <c r="Y87" s="6">
        <f>IF(G87="","",IFERROR(VLOOKUP(G87,Scoring_Lookups!$G$5:$H$16,2,FALSE()),0))</f>
        <v>8</v>
      </c>
      <c r="Z87" s="6">
        <f t="shared" ca="1" si="17"/>
        <v>0</v>
      </c>
      <c r="AA87" s="6">
        <f ca="1">IF(N87="Yes",0,IF(A87="",0,IF(COUNTIFS('04_Triggers'!B:B,A87,'04_Triggers'!D:D,"&gt;="&amp;(TODAY()-365))&gt;=2,20,IF(COUNTIFS('04_Triggers'!B:B,A87,'04_Triggers'!D:D,"&gt;="&amp;(TODAY()-365),'04_Triggers'!G:G,"High")&gt;=1,14,IF(COUNTIFS('04_Triggers'!B:B,A87,'04_Triggers'!D:D,"&gt;="&amp;(TODAY()-365))&gt;=1,7,IF(COUNTIFS('04_Triggers'!B:B,A87,'04_Triggers'!D:D,"&gt;="&amp;(TODAY()-1095),'04_Triggers'!D:D,"&lt;"&amp;(TODAY()-365))&gt;=1,7,0))))))</f>
        <v>14</v>
      </c>
      <c r="AB87" s="6">
        <f>IF(M87="","",IFERROR(VLOOKUP(M87,Scoring_Lookups!$J$5:$K$16,2,FALSE()),0))</f>
        <v>3</v>
      </c>
      <c r="AC87" s="6">
        <f>IF(O87="","",IFERROR(VLOOKUP(O87,Scoring_Lookups!$M$5:$N$8,2,FALSE()),0))</f>
        <v>6</v>
      </c>
      <c r="AD87" s="6">
        <f>IF(L87="","",IFERROR(VLOOKUP(L87,Scoring_Lookups!$P$5:$Q$9,2,FALSE()),0))</f>
        <v>6</v>
      </c>
      <c r="AE87" s="6">
        <f t="shared" si="18"/>
        <v>10</v>
      </c>
      <c r="AF87" s="6">
        <f t="shared" ca="1" si="19"/>
        <v>72</v>
      </c>
      <c r="AG87" s="6" t="str">
        <f t="shared" si="20"/>
        <v>OK</v>
      </c>
      <c r="AH87" s="6" t="s">
        <v>56</v>
      </c>
      <c r="AI87" s="6" t="str">
        <f t="shared" ca="1" si="21"/>
        <v>Priority 2</v>
      </c>
      <c r="AJ87" s="3" t="str">
        <f t="shared" ca="1" si="22"/>
        <v>P1 Expense Management=7 | P2 462=10 | P3 United Kingdom=8 | P4 EMI Licence=8 | P5 Series C=0 | P6=14 | P7 Incumbent Unknown=3 | P8 Cloud-native (AWS/Azure/GCP), API-first, AI signals=6 | P9 Scheme Participation Visible=6 | P10=10</v>
      </c>
      <c r="AK87" s="3"/>
      <c r="AL87" s="3" t="s">
        <v>61</v>
      </c>
      <c r="AM87" s="3" t="s">
        <v>56</v>
      </c>
      <c r="AN87" s="3"/>
      <c r="AO87" s="3" t="s">
        <v>92</v>
      </c>
      <c r="AP87" s="3" t="str">
        <f t="shared" si="23"/>
        <v>OK</v>
      </c>
      <c r="AQ87" s="4" t="s">
        <v>63</v>
      </c>
    </row>
    <row r="88" spans="1:43" ht="99.75" customHeight="1" x14ac:dyDescent="0.2">
      <c r="A88" s="3" t="s">
        <v>400</v>
      </c>
      <c r="B88" s="3" t="s">
        <v>401</v>
      </c>
      <c r="C88" s="3" t="s">
        <v>402</v>
      </c>
      <c r="D88" s="3" t="s">
        <v>48</v>
      </c>
      <c r="E88" s="3" t="s">
        <v>254</v>
      </c>
      <c r="F88" s="3">
        <v>329</v>
      </c>
      <c r="G88" s="3" t="s">
        <v>50</v>
      </c>
      <c r="H88" s="3" t="s">
        <v>51</v>
      </c>
      <c r="I88" s="3" t="s">
        <v>374</v>
      </c>
      <c r="J88" s="3"/>
      <c r="K88" s="3" t="s">
        <v>53</v>
      </c>
      <c r="L88" s="3" t="s">
        <v>77</v>
      </c>
      <c r="M88" s="3" t="s">
        <v>89</v>
      </c>
      <c r="N88" s="3" t="s">
        <v>56</v>
      </c>
      <c r="O88" s="3" t="s">
        <v>57</v>
      </c>
      <c r="P88" s="3">
        <v>100000</v>
      </c>
      <c r="Q88" s="3">
        <v>150000</v>
      </c>
      <c r="R88" s="3" t="s">
        <v>71</v>
      </c>
      <c r="S88" s="3" t="s">
        <v>403</v>
      </c>
      <c r="T88" s="7">
        <v>46218</v>
      </c>
      <c r="U88" s="3" t="s">
        <v>404</v>
      </c>
      <c r="V88" s="6">
        <f>IF(E88="","",IFERROR(VLOOKUP(E88,Scoring_Lookups!$A$5:$B$18,2,FALSE()),0))</f>
        <v>7</v>
      </c>
      <c r="W88" s="6">
        <f t="shared" si="16"/>
        <v>10</v>
      </c>
      <c r="X88" s="6">
        <f>IF(C88="","",IFERROR(VLOOKUP(C88,Scoring_Lookups!$D$5:$E$35,2,FALSE()),0))</f>
        <v>5</v>
      </c>
      <c r="Y88" s="6">
        <f>IF(G88="","",IFERROR(VLOOKUP(G88,Scoring_Lookups!$G$5:$H$16,2,FALSE()),0))</f>
        <v>6</v>
      </c>
      <c r="Z88" s="6">
        <f t="shared" ca="1" si="17"/>
        <v>0</v>
      </c>
      <c r="AA88" s="6">
        <f ca="1">IF(N88="Yes",0,IF(A88="",0,IF(COUNTIFS('04_Triggers'!B:B,A88,'04_Triggers'!D:D,"&gt;="&amp;(TODAY()-365))&gt;=2,20,IF(COUNTIFS('04_Triggers'!B:B,A88,'04_Triggers'!D:D,"&gt;="&amp;(TODAY()-365),'04_Triggers'!G:G,"High")&gt;=1,14,IF(COUNTIFS('04_Triggers'!B:B,A88,'04_Triggers'!D:D,"&gt;="&amp;(TODAY()-365))&gt;=1,7,IF(COUNTIFS('04_Triggers'!B:B,A88,'04_Triggers'!D:D,"&gt;="&amp;(TODAY()-1095),'04_Triggers'!D:D,"&lt;"&amp;(TODAY()-365))&gt;=1,7,0))))))</f>
        <v>7</v>
      </c>
      <c r="AB88" s="6">
        <f>IF(M88="","",IFERROR(VLOOKUP(M88,Scoring_Lookups!$J$5:$K$16,2,FALSE()),0))</f>
        <v>3</v>
      </c>
      <c r="AC88" s="6">
        <f>IF(O88="","",IFERROR(VLOOKUP(O88,Scoring_Lookups!$M$5:$N$8,2,FALSE()),0))</f>
        <v>6</v>
      </c>
      <c r="AD88" s="6">
        <f>IF(L88="","",IFERROR(VLOOKUP(L88,Scoring_Lookups!$P$5:$Q$9,2,FALSE()),0))</f>
        <v>8</v>
      </c>
      <c r="AE88" s="6">
        <f t="shared" si="18"/>
        <v>10</v>
      </c>
      <c r="AF88" s="6">
        <f t="shared" ca="1" si="19"/>
        <v>62</v>
      </c>
      <c r="AG88" s="6" t="str">
        <f t="shared" si="20"/>
        <v>OK</v>
      </c>
      <c r="AH88" s="6" t="s">
        <v>56</v>
      </c>
      <c r="AI88" s="6" t="str">
        <f t="shared" ca="1" si="21"/>
        <v>Priority 2</v>
      </c>
      <c r="AJ88" s="3" t="str">
        <f t="shared" ca="1" si="22"/>
        <v>P1 Expense Management=7 | P2 329=10 | P3 France=5 | P4 PI Licence=6 | P5 Series C=0 | P6=7 | P7 Incumbent Unknown=3 | P8 Cloud-native (AWS/Azure/GCP), API-first, AI signals=6 | P9 Existing BIN Sponsor Relationship=8 | P10=10</v>
      </c>
      <c r="AK88" s="3"/>
      <c r="AL88" s="3" t="s">
        <v>61</v>
      </c>
      <c r="AM88" s="3" t="s">
        <v>56</v>
      </c>
      <c r="AN88" s="3"/>
      <c r="AO88" s="3" t="s">
        <v>92</v>
      </c>
      <c r="AP88" s="3" t="str">
        <f t="shared" si="23"/>
        <v>OK</v>
      </c>
      <c r="AQ88" s="3" t="s">
        <v>63</v>
      </c>
    </row>
    <row r="89" spans="1:43" ht="99.75" customHeight="1" x14ac:dyDescent="0.2">
      <c r="A89" s="3" t="s">
        <v>405</v>
      </c>
      <c r="B89" s="3" t="s">
        <v>406</v>
      </c>
      <c r="C89" s="3" t="s">
        <v>359</v>
      </c>
      <c r="D89" s="3" t="s">
        <v>48</v>
      </c>
      <c r="E89" s="3" t="s">
        <v>254</v>
      </c>
      <c r="F89" s="3">
        <v>328</v>
      </c>
      <c r="G89" s="3" t="s">
        <v>175</v>
      </c>
      <c r="H89" s="3" t="s">
        <v>51</v>
      </c>
      <c r="I89" s="3" t="s">
        <v>374</v>
      </c>
      <c r="J89" s="3"/>
      <c r="K89" s="3" t="s">
        <v>53</v>
      </c>
      <c r="L89" s="3" t="s">
        <v>77</v>
      </c>
      <c r="M89" s="3" t="s">
        <v>89</v>
      </c>
      <c r="N89" s="3" t="s">
        <v>56</v>
      </c>
      <c r="O89" s="3" t="s">
        <v>57</v>
      </c>
      <c r="P89" s="3">
        <v>100000</v>
      </c>
      <c r="Q89" s="3">
        <v>150000</v>
      </c>
      <c r="R89" s="3" t="s">
        <v>71</v>
      </c>
      <c r="S89" s="3" t="s">
        <v>403</v>
      </c>
      <c r="T89" s="7">
        <v>46218</v>
      </c>
      <c r="U89" s="3" t="s">
        <v>407</v>
      </c>
      <c r="V89" s="6">
        <f>IF(E89="","",IFERROR(VLOOKUP(E89,Scoring_Lookups!$A$5:$B$18,2,FALSE()),0))</f>
        <v>7</v>
      </c>
      <c r="W89" s="6">
        <f t="shared" si="16"/>
        <v>10</v>
      </c>
      <c r="X89" s="6">
        <f>IF(C89="","",IFERROR(VLOOKUP(C89,Scoring_Lookups!$D$5:$E$35,2,FALSE()),0))</f>
        <v>5</v>
      </c>
      <c r="Y89" s="6">
        <f>IF(G89="","",IFERROR(VLOOKUP(G89,Scoring_Lookups!$G$5:$H$16,2,FALSE()),0))</f>
        <v>8</v>
      </c>
      <c r="Z89" s="6">
        <f t="shared" ca="1" si="17"/>
        <v>0</v>
      </c>
      <c r="AA89" s="6">
        <f ca="1">IF(N89="Yes",0,IF(A89="",0,IF(COUNTIFS('04_Triggers'!B:B,A89,'04_Triggers'!D:D,"&gt;="&amp;(TODAY()-365))&gt;=2,20,IF(COUNTIFS('04_Triggers'!B:B,A89,'04_Triggers'!D:D,"&gt;="&amp;(TODAY()-365),'04_Triggers'!G:G,"High")&gt;=1,14,IF(COUNTIFS('04_Triggers'!B:B,A89,'04_Triggers'!D:D,"&gt;="&amp;(TODAY()-365))&gt;=1,7,IF(COUNTIFS('04_Triggers'!B:B,A89,'04_Triggers'!D:D,"&gt;="&amp;(TODAY()-1095),'04_Triggers'!D:D,"&lt;"&amp;(TODAY()-365))&gt;=1,7,0))))))</f>
        <v>0</v>
      </c>
      <c r="AB89" s="6">
        <f>IF(M89="","",IFERROR(VLOOKUP(M89,Scoring_Lookups!$J$5:$K$16,2,FALSE()),0))</f>
        <v>3</v>
      </c>
      <c r="AC89" s="6">
        <f>IF(O89="","",IFERROR(VLOOKUP(O89,Scoring_Lookups!$M$5:$N$8,2,FALSE()),0))</f>
        <v>6</v>
      </c>
      <c r="AD89" s="6">
        <f>IF(L89="","",IFERROR(VLOOKUP(L89,Scoring_Lookups!$P$5:$Q$9,2,FALSE()),0))</f>
        <v>8</v>
      </c>
      <c r="AE89" s="6">
        <f t="shared" si="18"/>
        <v>10</v>
      </c>
      <c r="AF89" s="6">
        <f t="shared" ca="1" si="19"/>
        <v>57</v>
      </c>
      <c r="AG89" s="6" t="str">
        <f t="shared" si="20"/>
        <v>OK</v>
      </c>
      <c r="AH89" s="6" t="s">
        <v>56</v>
      </c>
      <c r="AI89" s="6" t="str">
        <f t="shared" ca="1" si="21"/>
        <v>Priority 3</v>
      </c>
      <c r="AJ89" s="3" t="str">
        <f t="shared" ca="1" si="22"/>
        <v>P1 Expense Management=7 | P2 328=10 | P3 Germany=5 | P4 EMI Licence=8 | P5 Series C=0 | P6=0 | P7 Incumbent Unknown=3 | P8 Cloud-native (AWS/Azure/GCP), API-first, AI signals=6 | P9 Existing BIN Sponsor Relationship=8 | P10=10</v>
      </c>
      <c r="AK89" s="3"/>
      <c r="AL89" s="3" t="s">
        <v>61</v>
      </c>
      <c r="AM89" s="3" t="s">
        <v>56</v>
      </c>
      <c r="AN89" s="3"/>
      <c r="AO89" s="3" t="s">
        <v>92</v>
      </c>
      <c r="AP89" s="3" t="str">
        <f t="shared" si="23"/>
        <v>OK</v>
      </c>
      <c r="AQ89" s="4" t="s">
        <v>63</v>
      </c>
    </row>
    <row r="90" spans="1:43" ht="99.75" customHeight="1" x14ac:dyDescent="0.2">
      <c r="A90" s="3" t="s">
        <v>408</v>
      </c>
      <c r="B90" s="3" t="s">
        <v>409</v>
      </c>
      <c r="C90" s="3" t="s">
        <v>359</v>
      </c>
      <c r="D90" s="3" t="s">
        <v>48</v>
      </c>
      <c r="E90" s="3" t="s">
        <v>254</v>
      </c>
      <c r="F90" s="3">
        <v>333</v>
      </c>
      <c r="G90" s="3" t="s">
        <v>175</v>
      </c>
      <c r="H90" s="3" t="s">
        <v>51</v>
      </c>
      <c r="I90" s="3" t="s">
        <v>368</v>
      </c>
      <c r="J90" s="3">
        <v>45762</v>
      </c>
      <c r="K90" s="3" t="s">
        <v>53</v>
      </c>
      <c r="L90" s="3" t="s">
        <v>77</v>
      </c>
      <c r="M90" s="3" t="s">
        <v>89</v>
      </c>
      <c r="N90" s="3" t="s">
        <v>56</v>
      </c>
      <c r="O90" s="3" t="s">
        <v>57</v>
      </c>
      <c r="P90" s="3">
        <v>150000</v>
      </c>
      <c r="Q90" s="3">
        <v>250000</v>
      </c>
      <c r="R90" s="3" t="s">
        <v>71</v>
      </c>
      <c r="S90" s="3" t="s">
        <v>410</v>
      </c>
      <c r="T90" s="7">
        <v>46218</v>
      </c>
      <c r="U90" s="3" t="s">
        <v>411</v>
      </c>
      <c r="V90" s="6">
        <f>IF(E90="","",IFERROR(VLOOKUP(E90,Scoring_Lookups!$A$5:$B$18,2,FALSE()),0))</f>
        <v>7</v>
      </c>
      <c r="W90" s="6">
        <f t="shared" si="16"/>
        <v>10</v>
      </c>
      <c r="X90" s="6">
        <f>IF(C90="","",IFERROR(VLOOKUP(C90,Scoring_Lookups!$D$5:$E$35,2,FALSE()),0))</f>
        <v>5</v>
      </c>
      <c r="Y90" s="6">
        <f>IF(G90="","",IFERROR(VLOOKUP(G90,Scoring_Lookups!$G$5:$H$16,2,FALSE()),0))</f>
        <v>8</v>
      </c>
      <c r="Z90" s="6">
        <f t="shared" ca="1" si="17"/>
        <v>8</v>
      </c>
      <c r="AA90" s="6">
        <f ca="1">IF(N90="Yes",0,IF(A90="",0,IF(COUNTIFS('04_Triggers'!B:B,A90,'04_Triggers'!D:D,"&gt;="&amp;(TODAY()-365))&gt;=2,20,IF(COUNTIFS('04_Triggers'!B:B,A90,'04_Triggers'!D:D,"&gt;="&amp;(TODAY()-365),'04_Triggers'!G:G,"High")&gt;=1,14,IF(COUNTIFS('04_Triggers'!B:B,A90,'04_Triggers'!D:D,"&gt;="&amp;(TODAY()-365))&gt;=1,7,IF(COUNTIFS('04_Triggers'!B:B,A90,'04_Triggers'!D:D,"&gt;="&amp;(TODAY()-1095),'04_Triggers'!D:D,"&lt;"&amp;(TODAY()-365))&gt;=1,7,0))))))</f>
        <v>7</v>
      </c>
      <c r="AB90" s="6">
        <f>IF(M90="","",IFERROR(VLOOKUP(M90,Scoring_Lookups!$J$5:$K$16,2,FALSE()),0))</f>
        <v>3</v>
      </c>
      <c r="AC90" s="6">
        <f>IF(O90="","",IFERROR(VLOOKUP(O90,Scoring_Lookups!$M$5:$N$8,2,FALSE()),0))</f>
        <v>6</v>
      </c>
      <c r="AD90" s="6">
        <f>IF(L90="","",IFERROR(VLOOKUP(L90,Scoring_Lookups!$P$5:$Q$9,2,FALSE()),0))</f>
        <v>8</v>
      </c>
      <c r="AE90" s="6">
        <f t="shared" si="18"/>
        <v>10</v>
      </c>
      <c r="AF90" s="6">
        <f t="shared" ca="1" si="19"/>
        <v>72</v>
      </c>
      <c r="AG90" s="6" t="str">
        <f t="shared" si="20"/>
        <v>OK</v>
      </c>
      <c r="AH90" s="6" t="s">
        <v>56</v>
      </c>
      <c r="AI90" s="6" t="str">
        <f t="shared" ca="1" si="21"/>
        <v>Priority 2</v>
      </c>
      <c r="AJ90" s="3" t="str">
        <f t="shared" ca="1" si="22"/>
        <v>P1 Expense Management=7 | P2 333=10 | P3 Germany=5 | P4 EMI Licence=8 | P5 Series B=8 | P6=7 | P7 Incumbent Unknown=3 | P8 Cloud-native (AWS/Azure/GCP), API-first, AI signals=6 | P9 Existing BIN Sponsor Relationship=8 | P10=10</v>
      </c>
      <c r="AK90" s="3"/>
      <c r="AL90" s="3" t="s">
        <v>61</v>
      </c>
      <c r="AM90" s="3" t="s">
        <v>56</v>
      </c>
      <c r="AN90" s="3"/>
      <c r="AO90" s="3" t="s">
        <v>92</v>
      </c>
      <c r="AP90" s="3" t="str">
        <f t="shared" si="23"/>
        <v>OK</v>
      </c>
      <c r="AQ90" s="3" t="s">
        <v>63</v>
      </c>
    </row>
    <row r="91" spans="1:43" ht="99.75" customHeight="1" x14ac:dyDescent="0.2">
      <c r="A91" s="3" t="s">
        <v>412</v>
      </c>
      <c r="B91" s="3" t="s">
        <v>413</v>
      </c>
      <c r="C91" s="3" t="s">
        <v>364</v>
      </c>
      <c r="D91" s="3" t="s">
        <v>48</v>
      </c>
      <c r="E91" s="3" t="s">
        <v>254</v>
      </c>
      <c r="F91" s="3">
        <v>500</v>
      </c>
      <c r="G91" s="3" t="s">
        <v>175</v>
      </c>
      <c r="H91" s="3" t="s">
        <v>51</v>
      </c>
      <c r="I91" s="3" t="s">
        <v>374</v>
      </c>
      <c r="J91" s="3"/>
      <c r="K91" s="3" t="s">
        <v>53</v>
      </c>
      <c r="L91" s="3" t="s">
        <v>77</v>
      </c>
      <c r="M91" s="3" t="s">
        <v>89</v>
      </c>
      <c r="N91" s="3" t="s">
        <v>56</v>
      </c>
      <c r="O91" s="3" t="s">
        <v>70</v>
      </c>
      <c r="P91" s="3">
        <v>150000</v>
      </c>
      <c r="Q91" s="3">
        <v>200000</v>
      </c>
      <c r="R91" s="3" t="s">
        <v>71</v>
      </c>
      <c r="S91" s="3" t="s">
        <v>403</v>
      </c>
      <c r="T91" s="7">
        <v>46218</v>
      </c>
      <c r="U91" s="3" t="s">
        <v>414</v>
      </c>
      <c r="V91" s="6">
        <f>IF(E91="","",IFERROR(VLOOKUP(E91,Scoring_Lookups!$A$5:$B$18,2,FALSE()),0))</f>
        <v>7</v>
      </c>
      <c r="W91" s="6">
        <f t="shared" si="16"/>
        <v>10</v>
      </c>
      <c r="X91" s="6">
        <f>IF(C91="","",IFERROR(VLOOKUP(C91,Scoring_Lookups!$D$5:$E$35,2,FALSE()),0))</f>
        <v>8</v>
      </c>
      <c r="Y91" s="6">
        <f>IF(G91="","",IFERROR(VLOOKUP(G91,Scoring_Lookups!$G$5:$H$16,2,FALSE()),0))</f>
        <v>8</v>
      </c>
      <c r="Z91" s="6">
        <f t="shared" ca="1" si="17"/>
        <v>0</v>
      </c>
      <c r="AA91" s="6">
        <f ca="1">IF(N91="Yes",0,IF(A91="",0,IF(COUNTIFS('04_Triggers'!B:B,A91,'04_Triggers'!D:D,"&gt;="&amp;(TODAY()-365))&gt;=2,20,IF(COUNTIFS('04_Triggers'!B:B,A91,'04_Triggers'!D:D,"&gt;="&amp;(TODAY()-365),'04_Triggers'!G:G,"High")&gt;=1,14,IF(COUNTIFS('04_Triggers'!B:B,A91,'04_Triggers'!D:D,"&gt;="&amp;(TODAY()-365))&gt;=1,7,IF(COUNTIFS('04_Triggers'!B:B,A91,'04_Triggers'!D:D,"&gt;="&amp;(TODAY()-1095),'04_Triggers'!D:D,"&lt;"&amp;(TODAY()-365))&gt;=1,7,0))))))</f>
        <v>0</v>
      </c>
      <c r="AB91" s="6">
        <f>IF(M91="","",IFERROR(VLOOKUP(M91,Scoring_Lookups!$J$5:$K$16,2,FALSE()),0))</f>
        <v>3</v>
      </c>
      <c r="AC91" s="6">
        <f>IF(O91="","",IFERROR(VLOOKUP(O91,Scoring_Lookups!$M$5:$N$8,2,FALSE()),0))</f>
        <v>4</v>
      </c>
      <c r="AD91" s="6">
        <f>IF(L91="","",IFERROR(VLOOKUP(L91,Scoring_Lookups!$P$5:$Q$9,2,FALSE()),0))</f>
        <v>8</v>
      </c>
      <c r="AE91" s="6">
        <f t="shared" si="18"/>
        <v>10</v>
      </c>
      <c r="AF91" s="6">
        <f t="shared" ca="1" si="19"/>
        <v>58</v>
      </c>
      <c r="AG91" s="6" t="str">
        <f t="shared" si="20"/>
        <v>OK</v>
      </c>
      <c r="AH91" s="6" t="s">
        <v>56</v>
      </c>
      <c r="AI91" s="6" t="str">
        <f t="shared" ca="1" si="21"/>
        <v>Priority 3</v>
      </c>
      <c r="AJ91" s="3" t="str">
        <f t="shared" ca="1" si="22"/>
        <v>P1 Expense Management=7 | P2 500=10 | P3 United Kingdom=8 | P4 EMI Licence=8 | P5 Series C=0 | P6=0 | P7 Incumbent Unknown=3 | P8 Cloud modern, Not API-first=4 | P9 Existing BIN Sponsor Relationship=8 | P10=10</v>
      </c>
      <c r="AK91" s="3"/>
      <c r="AL91" s="3" t="s">
        <v>61</v>
      </c>
      <c r="AM91" s="3" t="s">
        <v>56</v>
      </c>
      <c r="AN91" s="3"/>
      <c r="AO91" s="3" t="s">
        <v>92</v>
      </c>
      <c r="AP91" s="3" t="str">
        <f t="shared" si="23"/>
        <v>OK</v>
      </c>
      <c r="AQ91" s="4" t="s">
        <v>63</v>
      </c>
    </row>
    <row r="92" spans="1:43" ht="99.75" customHeight="1" x14ac:dyDescent="0.2">
      <c r="A92" s="3" t="s">
        <v>415</v>
      </c>
      <c r="B92" s="3" t="s">
        <v>416</v>
      </c>
      <c r="C92" s="3" t="s">
        <v>402</v>
      </c>
      <c r="D92" s="3" t="s">
        <v>48</v>
      </c>
      <c r="E92" s="3" t="s">
        <v>135</v>
      </c>
      <c r="F92" s="3">
        <v>1600</v>
      </c>
      <c r="G92" s="3" t="s">
        <v>50</v>
      </c>
      <c r="H92" s="3" t="s">
        <v>51</v>
      </c>
      <c r="I92" s="3" t="s">
        <v>247</v>
      </c>
      <c r="J92" s="3"/>
      <c r="K92" s="3" t="s">
        <v>417</v>
      </c>
      <c r="L92" s="3" t="s">
        <v>77</v>
      </c>
      <c r="M92" s="3" t="s">
        <v>130</v>
      </c>
      <c r="N92" s="3" t="s">
        <v>56</v>
      </c>
      <c r="O92" s="3" t="s">
        <v>57</v>
      </c>
      <c r="P92" s="3">
        <v>400000</v>
      </c>
      <c r="Q92" s="3">
        <v>700000</v>
      </c>
      <c r="R92" s="3" t="s">
        <v>71</v>
      </c>
      <c r="S92" s="3" t="s">
        <v>418</v>
      </c>
      <c r="T92" s="7">
        <v>46218</v>
      </c>
      <c r="U92" s="3" t="s">
        <v>419</v>
      </c>
      <c r="V92" s="6">
        <f>IF(E92="","",IFERROR(VLOOKUP(E92,Scoring_Lookups!$A$5:$B$18,2,FALSE()),0))</f>
        <v>10</v>
      </c>
      <c r="W92" s="6">
        <f t="shared" si="16"/>
        <v>7</v>
      </c>
      <c r="X92" s="6">
        <f>IF(C92="","",IFERROR(VLOOKUP(C92,Scoring_Lookups!$D$5:$E$35,2,FALSE()),0))</f>
        <v>5</v>
      </c>
      <c r="Y92" s="6">
        <f>IF(G92="","",IFERROR(VLOOKUP(G92,Scoring_Lookups!$G$5:$H$16,2,FALSE()),0))</f>
        <v>6</v>
      </c>
      <c r="Z92" s="6">
        <f t="shared" ca="1" si="17"/>
        <v>0</v>
      </c>
      <c r="AA92" s="6">
        <f ca="1">IF(N92="Yes",0,IF(A92="",0,IF(COUNTIFS('04_Triggers'!B:B,A92,'04_Triggers'!D:D,"&gt;="&amp;(TODAY()-365))&gt;=2,20,IF(COUNTIFS('04_Triggers'!B:B,A92,'04_Triggers'!D:D,"&gt;="&amp;(TODAY()-365),'04_Triggers'!G:G,"High")&gt;=1,14,IF(COUNTIFS('04_Triggers'!B:B,A92,'04_Triggers'!D:D,"&gt;="&amp;(TODAY()-365))&gt;=1,7,IF(COUNTIFS('04_Triggers'!B:B,A92,'04_Triggers'!D:D,"&gt;="&amp;(TODAY()-1095),'04_Triggers'!D:D,"&lt;"&amp;(TODAY()-365))&gt;=1,7,0))))))</f>
        <v>14</v>
      </c>
      <c r="AB92" s="6">
        <f>IF(M92="","",IFERROR(VLOOKUP(M92,Scoring_Lookups!$J$5:$K$16,2,FALSE()),0))</f>
        <v>8</v>
      </c>
      <c r="AC92" s="6">
        <f>IF(O92="","",IFERROR(VLOOKUP(O92,Scoring_Lookups!$M$5:$N$8,2,FALSE()),0))</f>
        <v>6</v>
      </c>
      <c r="AD92" s="6">
        <f>IF(L92="","",IFERROR(VLOOKUP(L92,Scoring_Lookups!$P$5:$Q$9,2,FALSE()),0))</f>
        <v>8</v>
      </c>
      <c r="AE92" s="6">
        <f t="shared" si="18"/>
        <v>10</v>
      </c>
      <c r="AF92" s="6">
        <f t="shared" ca="1" si="19"/>
        <v>74</v>
      </c>
      <c r="AG92" s="6" t="str">
        <f t="shared" si="20"/>
        <v>OK</v>
      </c>
      <c r="AH92" s="6" t="s">
        <v>56</v>
      </c>
      <c r="AI92" s="6" t="str">
        <f t="shared" ca="1" si="21"/>
        <v>Priority 2</v>
      </c>
      <c r="AJ92" s="3" t="str">
        <f t="shared" ca="1" si="22"/>
        <v>P1 Digital Banking=10 | P2 1600=7 | P3 France=5 | P4 PI Licence=6 | P5 Series D+=0 | P6=14 | P7 In-house Legacy Processor=8 | P8 Cloud-native (AWS/Azure/GCP), API-first, AI signals=6 | P9 Existing BIN Sponsor Relationship=8 | P10=10</v>
      </c>
      <c r="AK92" s="3"/>
      <c r="AL92" s="3" t="s">
        <v>61</v>
      </c>
      <c r="AM92" s="3" t="s">
        <v>56</v>
      </c>
      <c r="AN92" s="3"/>
      <c r="AO92" s="3" t="s">
        <v>92</v>
      </c>
      <c r="AP92" s="3" t="str">
        <f t="shared" si="23"/>
        <v>OK</v>
      </c>
      <c r="AQ92" s="3" t="s">
        <v>63</v>
      </c>
    </row>
    <row r="93" spans="1:43" ht="99.75" customHeight="1" x14ac:dyDescent="0.2">
      <c r="A93" s="3" t="s">
        <v>420</v>
      </c>
      <c r="B93" s="3" t="s">
        <v>421</v>
      </c>
      <c r="C93" s="3" t="s">
        <v>359</v>
      </c>
      <c r="D93" s="3" t="s">
        <v>48</v>
      </c>
      <c r="E93" s="3" t="s">
        <v>135</v>
      </c>
      <c r="F93" s="3">
        <v>275</v>
      </c>
      <c r="G93" s="3" t="s">
        <v>175</v>
      </c>
      <c r="H93" s="3" t="s">
        <v>51</v>
      </c>
      <c r="I93" s="3" t="s">
        <v>374</v>
      </c>
      <c r="J93" s="3"/>
      <c r="K93" s="3" t="s">
        <v>53</v>
      </c>
      <c r="L93" s="3" t="s">
        <v>77</v>
      </c>
      <c r="M93" s="3" t="s">
        <v>159</v>
      </c>
      <c r="N93" s="3" t="s">
        <v>56</v>
      </c>
      <c r="O93" s="3" t="s">
        <v>70</v>
      </c>
      <c r="P93" s="3">
        <v>100000</v>
      </c>
      <c r="Q93" s="3">
        <v>200000</v>
      </c>
      <c r="R93" s="3" t="s">
        <v>71</v>
      </c>
      <c r="S93" s="3" t="s">
        <v>422</v>
      </c>
      <c r="T93" s="7">
        <v>46218</v>
      </c>
      <c r="U93" s="3" t="s">
        <v>423</v>
      </c>
      <c r="V93" s="6">
        <f>IF(E93="","",IFERROR(VLOOKUP(E93,Scoring_Lookups!$A$5:$B$18,2,FALSE()),0))</f>
        <v>10</v>
      </c>
      <c r="W93" s="6">
        <f t="shared" si="16"/>
        <v>10</v>
      </c>
      <c r="X93" s="6">
        <f>IF(C93="","",IFERROR(VLOOKUP(C93,Scoring_Lookups!$D$5:$E$35,2,FALSE()),0))</f>
        <v>5</v>
      </c>
      <c r="Y93" s="6">
        <f>IF(G93="","",IFERROR(VLOOKUP(G93,Scoring_Lookups!$G$5:$H$16,2,FALSE()),0))</f>
        <v>8</v>
      </c>
      <c r="Z93" s="6">
        <f t="shared" ca="1" si="17"/>
        <v>0</v>
      </c>
      <c r="AA93" s="6">
        <f ca="1">IF(N93="Yes",0,IF(A93="",0,IF(COUNTIFS('04_Triggers'!B:B,A93,'04_Triggers'!D:D,"&gt;="&amp;(TODAY()-365))&gt;=2,20,IF(COUNTIFS('04_Triggers'!B:B,A93,'04_Triggers'!D:D,"&gt;="&amp;(TODAY()-365),'04_Triggers'!G:G,"High")&gt;=1,14,IF(COUNTIFS('04_Triggers'!B:B,A93,'04_Triggers'!D:D,"&gt;="&amp;(TODAY()-365))&gt;=1,7,IF(COUNTIFS('04_Triggers'!B:B,A93,'04_Triggers'!D:D,"&gt;="&amp;(TODAY()-1095),'04_Triggers'!D:D,"&lt;"&amp;(TODAY()-365))&gt;=1,7,0))))))</f>
        <v>0</v>
      </c>
      <c r="AB93" s="6">
        <f>IF(M93="","",IFERROR(VLOOKUP(M93,Scoring_Lookups!$J$5:$K$16,2,FALSE()),0))</f>
        <v>6</v>
      </c>
      <c r="AC93" s="6">
        <f>IF(O93="","",IFERROR(VLOOKUP(O93,Scoring_Lookups!$M$5:$N$8,2,FALSE()),0))</f>
        <v>4</v>
      </c>
      <c r="AD93" s="6">
        <f>IF(L93="","",IFERROR(VLOOKUP(L93,Scoring_Lookups!$P$5:$Q$9,2,FALSE()),0))</f>
        <v>8</v>
      </c>
      <c r="AE93" s="6">
        <f t="shared" si="18"/>
        <v>10</v>
      </c>
      <c r="AF93" s="6">
        <f t="shared" ca="1" si="19"/>
        <v>61</v>
      </c>
      <c r="AG93" s="6" t="str">
        <f t="shared" si="20"/>
        <v>OK</v>
      </c>
      <c r="AH93" s="6" t="s">
        <v>56</v>
      </c>
      <c r="AI93" s="6" t="str">
        <f t="shared" ca="1" si="21"/>
        <v>Priority 2</v>
      </c>
      <c r="AJ93" s="3" t="str">
        <f t="shared" ca="1" si="22"/>
        <v>P1 Digital Banking=10 | P2 275=10 | P3 Germany=5 | P4 EMI Licence=8 | P5 Series C=0 | P6=0 | P7 Smaller/Less-known Processor=6 | P8 Cloud modern, Not API-first=4 | P9 Existing BIN Sponsor Relationship=8 | P10=10</v>
      </c>
      <c r="AK93" s="3"/>
      <c r="AL93" s="3" t="s">
        <v>61</v>
      </c>
      <c r="AM93" s="3" t="s">
        <v>56</v>
      </c>
      <c r="AN93" s="3"/>
      <c r="AO93" s="3" t="s">
        <v>92</v>
      </c>
      <c r="AP93" s="3" t="str">
        <f t="shared" si="23"/>
        <v>OK</v>
      </c>
      <c r="AQ93" s="4" t="s">
        <v>63</v>
      </c>
    </row>
    <row r="94" spans="1:43" ht="99.75" customHeight="1" x14ac:dyDescent="0.2">
      <c r="A94" s="3" t="s">
        <v>424</v>
      </c>
      <c r="B94" s="3" t="s">
        <v>425</v>
      </c>
      <c r="C94" s="3" t="s">
        <v>426</v>
      </c>
      <c r="D94" s="3" t="s">
        <v>48</v>
      </c>
      <c r="E94" s="3" t="s">
        <v>49</v>
      </c>
      <c r="F94" s="3">
        <v>200</v>
      </c>
      <c r="G94" s="3" t="s">
        <v>175</v>
      </c>
      <c r="H94" s="3" t="s">
        <v>51</v>
      </c>
      <c r="I94" s="3" t="s">
        <v>368</v>
      </c>
      <c r="J94" s="3">
        <v>44607</v>
      </c>
      <c r="K94" s="3" t="s">
        <v>53</v>
      </c>
      <c r="L94" s="3" t="s">
        <v>77</v>
      </c>
      <c r="M94" s="3" t="s">
        <v>89</v>
      </c>
      <c r="N94" s="3" t="s">
        <v>56</v>
      </c>
      <c r="O94" s="3" t="s">
        <v>57</v>
      </c>
      <c r="P94" s="3">
        <v>50000</v>
      </c>
      <c r="Q94" s="3">
        <v>100000</v>
      </c>
      <c r="R94" s="3" t="s">
        <v>71</v>
      </c>
      <c r="S94" s="3" t="s">
        <v>427</v>
      </c>
      <c r="T94" s="7">
        <v>46218</v>
      </c>
      <c r="U94" s="3" t="s">
        <v>428</v>
      </c>
      <c r="V94" s="6">
        <f>IF(E94="","",IFERROR(VLOOKUP(E94,Scoring_Lookups!$A$5:$B$18,2,FALSE()),0))</f>
        <v>4</v>
      </c>
      <c r="W94" s="6">
        <f t="shared" si="16"/>
        <v>10</v>
      </c>
      <c r="X94" s="6">
        <f>IF(C94="","",IFERROR(VLOOKUP(C94,Scoring_Lookups!$D$5:$E$35,2,FALSE()),0))</f>
        <v>5</v>
      </c>
      <c r="Y94" s="6">
        <f>IF(G94="","",IFERROR(VLOOKUP(G94,Scoring_Lookups!$G$5:$H$16,2,FALSE()),0))</f>
        <v>8</v>
      </c>
      <c r="Z94" s="6">
        <f t="shared" ca="1" si="17"/>
        <v>6</v>
      </c>
      <c r="AA94" s="6">
        <f ca="1">IF(N94="Yes",0,IF(A94="",0,IF(COUNTIFS('04_Triggers'!B:B,A94,'04_Triggers'!D:D,"&gt;="&amp;(TODAY()-365))&gt;=2,20,IF(COUNTIFS('04_Triggers'!B:B,A94,'04_Triggers'!D:D,"&gt;="&amp;(TODAY()-365),'04_Triggers'!G:G,"High")&gt;=1,14,IF(COUNTIFS('04_Triggers'!B:B,A94,'04_Triggers'!D:D,"&gt;="&amp;(TODAY()-365))&gt;=1,7,IF(COUNTIFS('04_Triggers'!B:B,A94,'04_Triggers'!D:D,"&gt;="&amp;(TODAY()-1095),'04_Triggers'!D:D,"&lt;"&amp;(TODAY()-365))&gt;=1,7,0))))))</f>
        <v>0</v>
      </c>
      <c r="AB94" s="6">
        <f>IF(M94="","",IFERROR(VLOOKUP(M94,Scoring_Lookups!$J$5:$K$16,2,FALSE()),0))</f>
        <v>3</v>
      </c>
      <c r="AC94" s="6">
        <f>IF(O94="","",IFERROR(VLOOKUP(O94,Scoring_Lookups!$M$5:$N$8,2,FALSE()),0))</f>
        <v>6</v>
      </c>
      <c r="AD94" s="6">
        <f>IF(L94="","",IFERROR(VLOOKUP(L94,Scoring_Lookups!$P$5:$Q$9,2,FALSE()),0))</f>
        <v>8</v>
      </c>
      <c r="AE94" s="6">
        <f t="shared" si="18"/>
        <v>10</v>
      </c>
      <c r="AF94" s="6">
        <f t="shared" ca="1" si="19"/>
        <v>60</v>
      </c>
      <c r="AG94" s="6" t="str">
        <f t="shared" si="20"/>
        <v>OK</v>
      </c>
      <c r="AH94" s="6" t="s">
        <v>56</v>
      </c>
      <c r="AI94" s="6" t="str">
        <f t="shared" ca="1" si="21"/>
        <v>Priority 2</v>
      </c>
      <c r="AJ94" s="3" t="str">
        <f t="shared" ca="1" si="22"/>
        <v>P1 Payments=4 | P2 200=10 | P3 Sweden=5 | P4 EMI Licence=8 | P5 Series B=6 | P6=0 | P7 Incumbent Unknown=3 | P8 Cloud-native (AWS/Azure/GCP), API-first, AI signals=6 | P9 Existing BIN Sponsor Relationship=8 | P10=10</v>
      </c>
      <c r="AK94" s="3"/>
      <c r="AL94" s="3" t="s">
        <v>61</v>
      </c>
      <c r="AM94" s="3" t="s">
        <v>56</v>
      </c>
      <c r="AN94" s="3"/>
      <c r="AO94" s="3" t="s">
        <v>92</v>
      </c>
      <c r="AP94" s="3" t="str">
        <f t="shared" si="23"/>
        <v>OK</v>
      </c>
      <c r="AQ94" s="3" t="s">
        <v>63</v>
      </c>
    </row>
    <row r="95" spans="1:43" ht="99.75" customHeight="1" x14ac:dyDescent="0.2">
      <c r="A95" s="3" t="s">
        <v>429</v>
      </c>
      <c r="B95" s="3" t="s">
        <v>430</v>
      </c>
      <c r="C95" s="3" t="s">
        <v>364</v>
      </c>
      <c r="D95" s="3" t="s">
        <v>48</v>
      </c>
      <c r="E95" s="3" t="s">
        <v>110</v>
      </c>
      <c r="F95" s="3">
        <v>160</v>
      </c>
      <c r="G95" s="3" t="s">
        <v>175</v>
      </c>
      <c r="H95" s="3" t="s">
        <v>96</v>
      </c>
      <c r="I95" s="3" t="s">
        <v>143</v>
      </c>
      <c r="J95" s="3"/>
      <c r="K95" s="3" t="s">
        <v>53</v>
      </c>
      <c r="L95" s="3" t="s">
        <v>77</v>
      </c>
      <c r="M95" s="3" t="s">
        <v>89</v>
      </c>
      <c r="N95" s="3" t="s">
        <v>56</v>
      </c>
      <c r="O95" s="3" t="s">
        <v>57</v>
      </c>
      <c r="P95" s="3">
        <v>50000</v>
      </c>
      <c r="Q95" s="3">
        <v>200000</v>
      </c>
      <c r="R95" s="3" t="s">
        <v>71</v>
      </c>
      <c r="S95" s="3" t="s">
        <v>410</v>
      </c>
      <c r="T95" s="7">
        <v>46218</v>
      </c>
      <c r="U95" s="3" t="s">
        <v>431</v>
      </c>
      <c r="V95" s="6">
        <f>IF(E95="","",IFERROR(VLOOKUP(E95,Scoring_Lookups!$A$5:$B$18,2,FALSE()),0))</f>
        <v>7</v>
      </c>
      <c r="W95" s="6">
        <f t="shared" si="16"/>
        <v>10</v>
      </c>
      <c r="X95" s="6">
        <f>IF(C95="","",IFERROR(VLOOKUP(C95,Scoring_Lookups!$D$5:$E$35,2,FALSE()),0))</f>
        <v>8</v>
      </c>
      <c r="Y95" s="6">
        <f>IF(G95="","",IFERROR(VLOOKUP(G95,Scoring_Lookups!$G$5:$H$16,2,FALSE()),0))</f>
        <v>8</v>
      </c>
      <c r="Z95" s="6">
        <f t="shared" ca="1" si="17"/>
        <v>8</v>
      </c>
      <c r="AA95" s="6">
        <f ca="1">IF(N95="Yes",0,IF(A95="",0,IF(COUNTIFS('04_Triggers'!B:B,A95,'04_Triggers'!D:D,"&gt;="&amp;(TODAY()-365))&gt;=2,20,IF(COUNTIFS('04_Triggers'!B:B,A95,'04_Triggers'!D:D,"&gt;="&amp;(TODAY()-365),'04_Triggers'!G:G,"High")&gt;=1,14,IF(COUNTIFS('04_Triggers'!B:B,A95,'04_Triggers'!D:D,"&gt;="&amp;(TODAY()-365))&gt;=1,7,IF(COUNTIFS('04_Triggers'!B:B,A95,'04_Triggers'!D:D,"&gt;="&amp;(TODAY()-1095),'04_Triggers'!D:D,"&lt;"&amp;(TODAY()-365))&gt;=1,7,0))))))</f>
        <v>14</v>
      </c>
      <c r="AB95" s="6">
        <f>IF(M95="","",IFERROR(VLOOKUP(M95,Scoring_Lookups!$J$5:$K$16,2,FALSE()),0))</f>
        <v>3</v>
      </c>
      <c r="AC95" s="6">
        <f>IF(O95="","",IFERROR(VLOOKUP(O95,Scoring_Lookups!$M$5:$N$8,2,FALSE()),0))</f>
        <v>6</v>
      </c>
      <c r="AD95" s="6">
        <f>IF(L95="","",IFERROR(VLOOKUP(L95,Scoring_Lookups!$P$5:$Q$9,2,FALSE()),0))</f>
        <v>8</v>
      </c>
      <c r="AE95" s="6">
        <f t="shared" si="18"/>
        <v>10</v>
      </c>
      <c r="AF95" s="6">
        <f t="shared" ca="1" si="19"/>
        <v>82</v>
      </c>
      <c r="AG95" s="6" t="str">
        <f t="shared" si="20"/>
        <v>OK</v>
      </c>
      <c r="AH95" s="6" t="s">
        <v>56</v>
      </c>
      <c r="AI95" s="6" t="str">
        <f t="shared" ca="1" si="21"/>
        <v>Priority 1</v>
      </c>
      <c r="AJ95" s="3" t="str">
        <f t="shared" ca="1" si="22"/>
        <v>P1 FX Payments=7 | P2 160=10 | P3 United Kingdom=8 | P4 EMI Licence=8 | P5 PE-controlled Growth Mandate=8 | P6=14 | P7 Incumbent Unknown=3 | P8 Cloud-native (AWS/Azure/GCP), API-first, AI signals=6 | P9 Existing BIN Sponsor Relationship=8 | P10=10</v>
      </c>
      <c r="AK95" s="3"/>
      <c r="AL95" s="3" t="s">
        <v>61</v>
      </c>
      <c r="AM95" s="3" t="s">
        <v>56</v>
      </c>
      <c r="AN95" s="3"/>
      <c r="AO95" s="3" t="s">
        <v>92</v>
      </c>
      <c r="AP95" s="3" t="str">
        <f t="shared" si="23"/>
        <v>OK</v>
      </c>
      <c r="AQ95" s="4" t="s">
        <v>63</v>
      </c>
    </row>
    <row r="96" spans="1:43" ht="99.75" customHeight="1" x14ac:dyDescent="0.2">
      <c r="A96" s="3" t="s">
        <v>432</v>
      </c>
      <c r="B96" s="3" t="s">
        <v>433</v>
      </c>
      <c r="C96" s="3" t="s">
        <v>364</v>
      </c>
      <c r="D96" s="3" t="s">
        <v>48</v>
      </c>
      <c r="E96" s="3" t="s">
        <v>95</v>
      </c>
      <c r="F96" s="3">
        <v>75</v>
      </c>
      <c r="G96" s="3" t="s">
        <v>67</v>
      </c>
      <c r="H96" s="3" t="s">
        <v>51</v>
      </c>
      <c r="I96" s="3" t="s">
        <v>87</v>
      </c>
      <c r="J96" s="3">
        <v>45809</v>
      </c>
      <c r="K96" s="3" t="s">
        <v>53</v>
      </c>
      <c r="L96" s="3" t="s">
        <v>77</v>
      </c>
      <c r="M96" s="3" t="s">
        <v>89</v>
      </c>
      <c r="N96" s="3" t="s">
        <v>56</v>
      </c>
      <c r="O96" s="3" t="s">
        <v>57</v>
      </c>
      <c r="P96" s="3">
        <v>50000</v>
      </c>
      <c r="Q96" s="3">
        <v>100000</v>
      </c>
      <c r="R96" s="3" t="s">
        <v>71</v>
      </c>
      <c r="S96" s="3" t="s">
        <v>434</v>
      </c>
      <c r="T96" s="7">
        <v>46218</v>
      </c>
      <c r="U96" s="3" t="s">
        <v>435</v>
      </c>
      <c r="V96" s="6">
        <f>IF(E96="","",IFERROR(VLOOKUP(E96,Scoring_Lookups!$A$5:$B$18,2,FALSE()),0))</f>
        <v>7</v>
      </c>
      <c r="W96" s="6">
        <f t="shared" si="16"/>
        <v>10</v>
      </c>
      <c r="X96" s="6">
        <f>IF(C96="","",IFERROR(VLOOKUP(C96,Scoring_Lookups!$D$5:$E$35,2,FALSE()),0))</f>
        <v>8</v>
      </c>
      <c r="Y96" s="6">
        <f>IF(G96="","",IFERROR(VLOOKUP(G96,Scoring_Lookups!$G$5:$H$16,2,FALSE()),0))</f>
        <v>6</v>
      </c>
      <c r="Z96" s="6">
        <f t="shared" ca="1" si="17"/>
        <v>6</v>
      </c>
      <c r="AA96" s="6">
        <f ca="1">IF(N96="Yes",0,IF(A96="",0,IF(COUNTIFS('04_Triggers'!B:B,A96,'04_Triggers'!D:D,"&gt;="&amp;(TODAY()-365))&gt;=2,20,IF(COUNTIFS('04_Triggers'!B:B,A96,'04_Triggers'!D:D,"&gt;="&amp;(TODAY()-365),'04_Triggers'!G:G,"High")&gt;=1,14,IF(COUNTIFS('04_Triggers'!B:B,A96,'04_Triggers'!D:D,"&gt;="&amp;(TODAY()-365))&gt;=1,7,IF(COUNTIFS('04_Triggers'!B:B,A96,'04_Triggers'!D:D,"&gt;="&amp;(TODAY()-1095),'04_Triggers'!D:D,"&lt;"&amp;(TODAY()-365))&gt;=1,7,0))))))</f>
        <v>7</v>
      </c>
      <c r="AB96" s="6">
        <f>IF(M96="","",IFERROR(VLOOKUP(M96,Scoring_Lookups!$J$5:$K$16,2,FALSE()),0))</f>
        <v>3</v>
      </c>
      <c r="AC96" s="6">
        <f>IF(O96="","",IFERROR(VLOOKUP(O96,Scoring_Lookups!$M$5:$N$8,2,FALSE()),0))</f>
        <v>6</v>
      </c>
      <c r="AD96" s="6">
        <f>IF(L96="","",IFERROR(VLOOKUP(L96,Scoring_Lookups!$P$5:$Q$9,2,FALSE()),0))</f>
        <v>8</v>
      </c>
      <c r="AE96" s="6">
        <f t="shared" si="18"/>
        <v>10</v>
      </c>
      <c r="AF96" s="6">
        <f t="shared" ca="1" si="19"/>
        <v>71</v>
      </c>
      <c r="AG96" s="6" t="str">
        <f t="shared" si="20"/>
        <v>OK</v>
      </c>
      <c r="AH96" s="6" t="s">
        <v>56</v>
      </c>
      <c r="AI96" s="6" t="str">
        <f t="shared" ca="1" si="21"/>
        <v>Priority 2</v>
      </c>
      <c r="AJ96" s="3" t="str">
        <f t="shared" ca="1" si="22"/>
        <v>P1 Lending (Consumer)=7 | P2 75=10 | P3 United Kingdom=8 | P4 BIN Sponsor Agreement In Place=6 | P5 Series A=6 | P6=7 | P7 Incumbent Unknown=3 | P8 Cloud-native (AWS/Azure/GCP), API-first, AI signals=6 | P9 Existing BIN Sponsor Relationship=8 | P10=10</v>
      </c>
      <c r="AK96" s="3"/>
      <c r="AL96" s="3" t="s">
        <v>61</v>
      </c>
      <c r="AM96" s="3" t="s">
        <v>56</v>
      </c>
      <c r="AN96" s="3"/>
      <c r="AO96" s="3" t="s">
        <v>92</v>
      </c>
      <c r="AP96" s="3" t="str">
        <f t="shared" si="23"/>
        <v>OK</v>
      </c>
      <c r="AQ96" s="3" t="s">
        <v>84</v>
      </c>
    </row>
    <row r="97" spans="1:43" ht="99.75" customHeight="1" x14ac:dyDescent="0.2">
      <c r="A97" s="3" t="s">
        <v>436</v>
      </c>
      <c r="B97" s="3" t="s">
        <v>437</v>
      </c>
      <c r="C97" s="3" t="s">
        <v>364</v>
      </c>
      <c r="D97" s="3" t="s">
        <v>48</v>
      </c>
      <c r="E97" s="3" t="s">
        <v>95</v>
      </c>
      <c r="F97" s="3">
        <v>300</v>
      </c>
      <c r="G97" s="3" t="s">
        <v>175</v>
      </c>
      <c r="H97" s="3" t="s">
        <v>51</v>
      </c>
      <c r="I97" s="3" t="s">
        <v>247</v>
      </c>
      <c r="J97" s="3">
        <v>46023</v>
      </c>
      <c r="K97" s="3" t="s">
        <v>438</v>
      </c>
      <c r="L97" s="3" t="s">
        <v>138</v>
      </c>
      <c r="M97" s="3" t="s">
        <v>89</v>
      </c>
      <c r="N97" s="3" t="s">
        <v>56</v>
      </c>
      <c r="O97" s="3" t="s">
        <v>57</v>
      </c>
      <c r="P97" s="3">
        <v>200000</v>
      </c>
      <c r="Q97" s="3">
        <v>500000</v>
      </c>
      <c r="R97" s="3" t="s">
        <v>71</v>
      </c>
      <c r="S97" s="3" t="s">
        <v>439</v>
      </c>
      <c r="T97" s="7">
        <v>46218</v>
      </c>
      <c r="U97" s="3" t="s">
        <v>440</v>
      </c>
      <c r="V97" s="6">
        <f>IF(E97="","",IFERROR(VLOOKUP(E97,Scoring_Lookups!$A$5:$B$18,2,FALSE()),0))</f>
        <v>7</v>
      </c>
      <c r="W97" s="6">
        <f t="shared" si="16"/>
        <v>10</v>
      </c>
      <c r="X97" s="6">
        <f>IF(C97="","",IFERROR(VLOOKUP(C97,Scoring_Lookups!$D$5:$E$35,2,FALSE()),0))</f>
        <v>8</v>
      </c>
      <c r="Y97" s="6">
        <f>IF(G97="","",IFERROR(VLOOKUP(G97,Scoring_Lookups!$G$5:$H$16,2,FALSE()),0))</f>
        <v>8</v>
      </c>
      <c r="Z97" s="6">
        <f t="shared" ca="1" si="17"/>
        <v>8</v>
      </c>
      <c r="AA97" s="6">
        <f ca="1">IF(N97="Yes",0,IF(A97="",0,IF(COUNTIFS('04_Triggers'!B:B,A97,'04_Triggers'!D:D,"&gt;="&amp;(TODAY()-365))&gt;=2,20,IF(COUNTIFS('04_Triggers'!B:B,A97,'04_Triggers'!D:D,"&gt;="&amp;(TODAY()-365),'04_Triggers'!G:G,"High")&gt;=1,14,IF(COUNTIFS('04_Triggers'!B:B,A97,'04_Triggers'!D:D,"&gt;="&amp;(TODAY()-365))&gt;=1,7,IF(COUNTIFS('04_Triggers'!B:B,A97,'04_Triggers'!D:D,"&gt;="&amp;(TODAY()-1095),'04_Triggers'!D:D,"&lt;"&amp;(TODAY()-365))&gt;=1,7,0))))))</f>
        <v>14</v>
      </c>
      <c r="AB97" s="6">
        <f>IF(M97="","",IFERROR(VLOOKUP(M97,Scoring_Lookups!$J$5:$K$16,2,FALSE()),0))</f>
        <v>3</v>
      </c>
      <c r="AC97" s="6">
        <f>IF(O97="","",IFERROR(VLOOKUP(O97,Scoring_Lookups!$M$5:$N$8,2,FALSE()),0))</f>
        <v>6</v>
      </c>
      <c r="AD97" s="6">
        <f>IF(L97="","",IFERROR(VLOOKUP(L97,Scoring_Lookups!$P$5:$Q$9,2,FALSE()),0))</f>
        <v>8</v>
      </c>
      <c r="AE97" s="6">
        <f t="shared" si="18"/>
        <v>10</v>
      </c>
      <c r="AF97" s="6">
        <f t="shared" ca="1" si="19"/>
        <v>82</v>
      </c>
      <c r="AG97" s="6" t="str">
        <f t="shared" si="20"/>
        <v>OK</v>
      </c>
      <c r="AH97" s="6" t="s">
        <v>56</v>
      </c>
      <c r="AI97" s="6" t="str">
        <f t="shared" ca="1" si="21"/>
        <v>Priority 1</v>
      </c>
      <c r="AJ97" s="3" t="str">
        <f t="shared" ca="1" si="22"/>
        <v>P1 Lending (Consumer)=7 | P2 300=10 | P3 United Kingdom=8 | P4 EMI Licence=8 | P5 Series D+=8 | P6=14 | P7 Incumbent Unknown=3 | P8 Cloud-native (AWS/Azure/GCP), API-first, AI signals=6 | P9 Scheme Principal=8 | P10=10</v>
      </c>
      <c r="AK97" s="3"/>
      <c r="AL97" s="3" t="s">
        <v>61</v>
      </c>
      <c r="AM97" s="3" t="s">
        <v>56</v>
      </c>
      <c r="AN97" s="3"/>
      <c r="AO97" s="3" t="s">
        <v>92</v>
      </c>
      <c r="AP97" s="3" t="str">
        <f t="shared" si="23"/>
        <v>OK</v>
      </c>
      <c r="AQ97" s="4" t="s">
        <v>84</v>
      </c>
    </row>
    <row r="98" spans="1:43" ht="99.75" customHeight="1" x14ac:dyDescent="0.2">
      <c r="A98" s="3" t="s">
        <v>441</v>
      </c>
      <c r="B98" s="3" t="s">
        <v>442</v>
      </c>
      <c r="C98" s="3" t="s">
        <v>443</v>
      </c>
      <c r="D98" s="3" t="s">
        <v>134</v>
      </c>
      <c r="E98" s="3" t="s">
        <v>135</v>
      </c>
      <c r="F98" s="3">
        <v>150</v>
      </c>
      <c r="G98" s="3" t="s">
        <v>136</v>
      </c>
      <c r="H98" s="3" t="s">
        <v>68</v>
      </c>
      <c r="I98" s="3" t="s">
        <v>69</v>
      </c>
      <c r="J98" s="3"/>
      <c r="K98" s="3" t="s">
        <v>53</v>
      </c>
      <c r="L98" s="3" t="s">
        <v>77</v>
      </c>
      <c r="M98" s="3" t="s">
        <v>444</v>
      </c>
      <c r="N98" s="3" t="s">
        <v>56</v>
      </c>
      <c r="O98" s="3" t="s">
        <v>57</v>
      </c>
      <c r="P98" s="3">
        <v>50000</v>
      </c>
      <c r="Q98" s="3">
        <v>150000</v>
      </c>
      <c r="R98" s="3" t="s">
        <v>71</v>
      </c>
      <c r="S98" s="3" t="s">
        <v>445</v>
      </c>
      <c r="T98" s="7">
        <v>46218</v>
      </c>
      <c r="U98" s="3" t="s">
        <v>446</v>
      </c>
      <c r="V98" s="6">
        <f>IF(E98="","",IFERROR(VLOOKUP(E98,Scoring_Lookups!$A$5:$B$18,2,FALSE()),0))</f>
        <v>10</v>
      </c>
      <c r="W98" s="6">
        <f t="shared" si="16"/>
        <v>10</v>
      </c>
      <c r="X98" s="6">
        <f>IF(C98="","",IFERROR(VLOOKUP(C98,Scoring_Lookups!$D$5:$E$35,2,FALSE()),0))</f>
        <v>8</v>
      </c>
      <c r="Y98" s="6">
        <f>IF(G98="","",IFERROR(VLOOKUP(G98,Scoring_Lookups!$G$5:$H$16,2,FALSE()),0))</f>
        <v>8</v>
      </c>
      <c r="Z98" s="6">
        <f t="shared" ca="1" si="17"/>
        <v>6</v>
      </c>
      <c r="AA98" s="6">
        <f ca="1">IF(N98="Yes",0,IF(A98="",0,IF(COUNTIFS('04_Triggers'!B:B,A98,'04_Triggers'!D:D,"&gt;="&amp;(TODAY()-365))&gt;=2,20,IF(COUNTIFS('04_Triggers'!B:B,A98,'04_Triggers'!D:D,"&gt;="&amp;(TODAY()-365),'04_Triggers'!G:G,"High")&gt;=1,14,IF(COUNTIFS('04_Triggers'!B:B,A98,'04_Triggers'!D:D,"&gt;="&amp;(TODAY()-365))&gt;=1,7,IF(COUNTIFS('04_Triggers'!B:B,A98,'04_Triggers'!D:D,"&gt;="&amp;(TODAY()-1095),'04_Triggers'!D:D,"&lt;"&amp;(TODAY()-365))&gt;=1,7,0))))))</f>
        <v>14</v>
      </c>
      <c r="AB98" s="6">
        <f>IF(M98="","",IFERROR(VLOOKUP(M98,Scoring_Lookups!$J$5:$K$16,2,FALSE()),0))</f>
        <v>8</v>
      </c>
      <c r="AC98" s="6">
        <f>IF(O98="","",IFERROR(VLOOKUP(O98,Scoring_Lookups!$M$5:$N$8,2,FALSE()),0))</f>
        <v>6</v>
      </c>
      <c r="AD98" s="6">
        <f>IF(L98="","",IFERROR(VLOOKUP(L98,Scoring_Lookups!$P$5:$Q$9,2,FALSE()),0))</f>
        <v>8</v>
      </c>
      <c r="AE98" s="6">
        <f t="shared" si="18"/>
        <v>10</v>
      </c>
      <c r="AF98" s="6">
        <f t="shared" ca="1" si="19"/>
        <v>88</v>
      </c>
      <c r="AG98" s="6" t="str">
        <f t="shared" si="20"/>
        <v>OK</v>
      </c>
      <c r="AH98" s="6" t="s">
        <v>56</v>
      </c>
      <c r="AI98" s="6" t="str">
        <f t="shared" ca="1" si="21"/>
        <v>Priority 1</v>
      </c>
      <c r="AJ98" s="3" t="str">
        <f t="shared" ca="1" si="22"/>
        <v>P1 Digital Banking=10 | P2 150=10 | P3 Greece=8 | P4 Credit Institution Licence=8 | P5 Bootstrapped Profitable=6 | P6=14 | P7 Paymentology=8 | P8 Cloud-native (AWS/Azure/GCP), API-first, AI signals=6 | P9 Existing BIN Sponsor Relationship=8 | P10=10</v>
      </c>
      <c r="AK98" s="3"/>
      <c r="AL98" s="3" t="s">
        <v>61</v>
      </c>
      <c r="AM98" s="3" t="s">
        <v>56</v>
      </c>
      <c r="AN98" s="3"/>
      <c r="AO98" s="3" t="s">
        <v>92</v>
      </c>
      <c r="AP98" s="3" t="str">
        <f t="shared" si="23"/>
        <v>OK</v>
      </c>
      <c r="AQ98" s="3" t="s">
        <v>84</v>
      </c>
    </row>
    <row r="99" spans="1:43" ht="99.75" customHeight="1" x14ac:dyDescent="0.2">
      <c r="A99" s="3" t="s">
        <v>447</v>
      </c>
      <c r="B99" s="3" t="s">
        <v>448</v>
      </c>
      <c r="C99" s="3" t="s">
        <v>402</v>
      </c>
      <c r="D99" s="3" t="s">
        <v>48</v>
      </c>
      <c r="E99" s="3" t="s">
        <v>254</v>
      </c>
      <c r="F99" s="3">
        <v>150</v>
      </c>
      <c r="G99" s="3" t="s">
        <v>175</v>
      </c>
      <c r="H99" s="3" t="s">
        <v>96</v>
      </c>
      <c r="I99" s="3" t="s">
        <v>97</v>
      </c>
      <c r="J99" s="3"/>
      <c r="K99" s="3" t="s">
        <v>53</v>
      </c>
      <c r="L99" s="3" t="s">
        <v>77</v>
      </c>
      <c r="M99" s="3" t="s">
        <v>215</v>
      </c>
      <c r="N99" s="3" t="s">
        <v>56</v>
      </c>
      <c r="O99" s="3" t="s">
        <v>70</v>
      </c>
      <c r="P99" s="3">
        <v>100000</v>
      </c>
      <c r="Q99" s="3">
        <v>200000</v>
      </c>
      <c r="R99" s="3" t="s">
        <v>71</v>
      </c>
      <c r="S99" s="3" t="s">
        <v>449</v>
      </c>
      <c r="T99" s="7">
        <v>46218</v>
      </c>
      <c r="U99" s="3" t="s">
        <v>450</v>
      </c>
      <c r="V99" s="6">
        <f>IF(E99="","",IFERROR(VLOOKUP(E99,Scoring_Lookups!$A$5:$B$18,2,FALSE()),0))</f>
        <v>7</v>
      </c>
      <c r="W99" s="6">
        <f t="shared" si="16"/>
        <v>10</v>
      </c>
      <c r="X99" s="6">
        <f>IF(C99="","",IFERROR(VLOOKUP(C99,Scoring_Lookups!$D$5:$E$35,2,FALSE()),0))</f>
        <v>5</v>
      </c>
      <c r="Y99" s="6">
        <f>IF(G99="","",IFERROR(VLOOKUP(G99,Scoring_Lookups!$G$5:$H$16,2,FALSE()),0))</f>
        <v>8</v>
      </c>
      <c r="Z99" s="6">
        <f t="shared" ca="1" si="17"/>
        <v>6</v>
      </c>
      <c r="AA99" s="6">
        <f ca="1">IF(N99="Yes",0,IF(A99="",0,IF(COUNTIFS('04_Triggers'!B:B,A99,'04_Triggers'!D:D,"&gt;="&amp;(TODAY()-365))&gt;=2,20,IF(COUNTIFS('04_Triggers'!B:B,A99,'04_Triggers'!D:D,"&gt;="&amp;(TODAY()-365),'04_Triggers'!G:G,"High")&gt;=1,14,IF(COUNTIFS('04_Triggers'!B:B,A99,'04_Triggers'!D:D,"&gt;="&amp;(TODAY()-365))&gt;=1,7,IF(COUNTIFS('04_Triggers'!B:B,A99,'04_Triggers'!D:D,"&gt;="&amp;(TODAY()-1095),'04_Triggers'!D:D,"&lt;"&amp;(TODAY()-365))&gt;=1,7,0))))))</f>
        <v>14</v>
      </c>
      <c r="AB99" s="6">
        <f>IF(M99="","",IFERROR(VLOOKUP(M99,Scoring_Lookups!$J$5:$K$16,2,FALSE()),0))</f>
        <v>8</v>
      </c>
      <c r="AC99" s="6">
        <f>IF(O99="","",IFERROR(VLOOKUP(O99,Scoring_Lookups!$M$5:$N$8,2,FALSE()),0))</f>
        <v>4</v>
      </c>
      <c r="AD99" s="6">
        <f>IF(L99="","",IFERROR(VLOOKUP(L99,Scoring_Lookups!$P$5:$Q$9,2,FALSE()),0))</f>
        <v>8</v>
      </c>
      <c r="AE99" s="6">
        <f t="shared" si="18"/>
        <v>10</v>
      </c>
      <c r="AF99" s="6">
        <f t="shared" ca="1" si="19"/>
        <v>80</v>
      </c>
      <c r="AG99" s="6" t="str">
        <f t="shared" si="20"/>
        <v>OK</v>
      </c>
      <c r="AH99" s="6" t="s">
        <v>56</v>
      </c>
      <c r="AI99" s="6" t="str">
        <f t="shared" ca="1" si="21"/>
        <v>Priority 1</v>
      </c>
      <c r="AJ99" s="3" t="str">
        <f t="shared" ca="1" si="22"/>
        <v>P1 Expense Management=7 | P2 150=10 | P3 France=5 | P4 EMI Licence=8 | P5 PE-controlled Stable=6 | P6=14 | P7 Thredd=8 | P8 Cloud modern, Not API-first=4 | P9 Existing BIN Sponsor Relationship=8 | P10=10</v>
      </c>
      <c r="AK99" s="3"/>
      <c r="AL99" s="3" t="s">
        <v>61</v>
      </c>
      <c r="AM99" s="3" t="s">
        <v>56</v>
      </c>
      <c r="AN99" s="3"/>
      <c r="AO99" s="3" t="s">
        <v>92</v>
      </c>
      <c r="AP99" s="3" t="str">
        <f t="shared" si="23"/>
        <v>OK</v>
      </c>
      <c r="AQ99" s="4" t="s">
        <v>63</v>
      </c>
    </row>
    <row r="100" spans="1:43" ht="99.75" customHeight="1" x14ac:dyDescent="0.2">
      <c r="A100" s="3" t="s">
        <v>451</v>
      </c>
      <c r="B100" s="3" t="s">
        <v>452</v>
      </c>
      <c r="C100" s="3" t="s">
        <v>364</v>
      </c>
      <c r="D100" s="3" t="s">
        <v>48</v>
      </c>
      <c r="E100" s="3" t="s">
        <v>110</v>
      </c>
      <c r="F100" s="3">
        <v>92</v>
      </c>
      <c r="G100" s="3" t="s">
        <v>175</v>
      </c>
      <c r="H100" s="3" t="s">
        <v>68</v>
      </c>
      <c r="I100" s="3" t="s">
        <v>69</v>
      </c>
      <c r="J100" s="3"/>
      <c r="K100" s="3" t="s">
        <v>53</v>
      </c>
      <c r="L100" s="3" t="s">
        <v>77</v>
      </c>
      <c r="M100" s="3" t="s">
        <v>215</v>
      </c>
      <c r="N100" s="3" t="s">
        <v>56</v>
      </c>
      <c r="O100" s="3" t="s">
        <v>70</v>
      </c>
      <c r="P100" s="3">
        <v>100000</v>
      </c>
      <c r="Q100" s="3">
        <v>150000</v>
      </c>
      <c r="R100" s="3" t="s">
        <v>71</v>
      </c>
      <c r="S100" s="3" t="s">
        <v>453</v>
      </c>
      <c r="T100" s="7">
        <v>46218</v>
      </c>
      <c r="U100" s="3" t="s">
        <v>454</v>
      </c>
      <c r="V100" s="6">
        <f>IF(E100="","",IFERROR(VLOOKUP(E100,Scoring_Lookups!$A$5:$B$18,2,FALSE()),0))</f>
        <v>7</v>
      </c>
      <c r="W100" s="6">
        <f t="shared" si="16"/>
        <v>10</v>
      </c>
      <c r="X100" s="6">
        <f>IF(C100="","",IFERROR(VLOOKUP(C100,Scoring_Lookups!$D$5:$E$35,2,FALSE()),0))</f>
        <v>8</v>
      </c>
      <c r="Y100" s="6">
        <f>IF(G100="","",IFERROR(VLOOKUP(G100,Scoring_Lookups!$G$5:$H$16,2,FALSE()),0))</f>
        <v>8</v>
      </c>
      <c r="Z100" s="6">
        <f t="shared" ca="1" si="17"/>
        <v>6</v>
      </c>
      <c r="AA100" s="6">
        <f ca="1">IF(N100="Yes",0,IF(A100="",0,IF(COUNTIFS('04_Triggers'!B:B,A100,'04_Triggers'!D:D,"&gt;="&amp;(TODAY()-365))&gt;=2,20,IF(COUNTIFS('04_Triggers'!B:B,A100,'04_Triggers'!D:D,"&gt;="&amp;(TODAY()-365),'04_Triggers'!G:G,"High")&gt;=1,14,IF(COUNTIFS('04_Triggers'!B:B,A100,'04_Triggers'!D:D,"&gt;="&amp;(TODAY()-365))&gt;=1,7,IF(COUNTIFS('04_Triggers'!B:B,A100,'04_Triggers'!D:D,"&gt;="&amp;(TODAY()-1095),'04_Triggers'!D:D,"&lt;"&amp;(TODAY()-365))&gt;=1,7,0))))))</f>
        <v>0</v>
      </c>
      <c r="AB100" s="6">
        <f>IF(M100="","",IFERROR(VLOOKUP(M100,Scoring_Lookups!$J$5:$K$16,2,FALSE()),0))</f>
        <v>8</v>
      </c>
      <c r="AC100" s="6">
        <f>IF(O100="","",IFERROR(VLOOKUP(O100,Scoring_Lookups!$M$5:$N$8,2,FALSE()),0))</f>
        <v>4</v>
      </c>
      <c r="AD100" s="6">
        <f>IF(L100="","",IFERROR(VLOOKUP(L100,Scoring_Lookups!$P$5:$Q$9,2,FALSE()),0))</f>
        <v>8</v>
      </c>
      <c r="AE100" s="6">
        <f t="shared" si="18"/>
        <v>10</v>
      </c>
      <c r="AF100" s="6">
        <f t="shared" ca="1" si="19"/>
        <v>69</v>
      </c>
      <c r="AG100" s="6" t="str">
        <f t="shared" si="20"/>
        <v>OK</v>
      </c>
      <c r="AH100" s="6" t="s">
        <v>56</v>
      </c>
      <c r="AI100" s="6" t="str">
        <f t="shared" ca="1" si="21"/>
        <v>Priority 2</v>
      </c>
      <c r="AJ100" s="3" t="str">
        <f t="shared" ca="1" si="22"/>
        <v>P1 FX Payments=7 | P2 92=10 | P3 United Kingdom=8 | P4 EMI Licence=8 | P5 Bootstrapped Profitable=6 | P6=0 | P7 Thredd=8 | P8 Cloud modern, Not API-first=4 | P9 Existing BIN Sponsor Relationship=8 | P10=10</v>
      </c>
      <c r="AK100" s="3"/>
      <c r="AL100" s="3" t="s">
        <v>61</v>
      </c>
      <c r="AM100" s="3" t="s">
        <v>56</v>
      </c>
      <c r="AN100" s="3"/>
      <c r="AO100" s="3" t="s">
        <v>92</v>
      </c>
      <c r="AP100" s="3" t="str">
        <f t="shared" si="23"/>
        <v>OK</v>
      </c>
      <c r="AQ100" s="3" t="s">
        <v>84</v>
      </c>
    </row>
    <row r="101" spans="1:43" ht="99.75" customHeight="1" x14ac:dyDescent="0.2">
      <c r="A101" s="3" t="s">
        <v>455</v>
      </c>
      <c r="B101" s="3" t="s">
        <v>456</v>
      </c>
      <c r="C101" s="3" t="s">
        <v>364</v>
      </c>
      <c r="D101" s="3" t="s">
        <v>48</v>
      </c>
      <c r="E101" s="3" t="s">
        <v>135</v>
      </c>
      <c r="F101" s="3">
        <v>183</v>
      </c>
      <c r="G101" s="3" t="s">
        <v>175</v>
      </c>
      <c r="H101" s="3" t="s">
        <v>51</v>
      </c>
      <c r="I101" s="3" t="s">
        <v>368</v>
      </c>
      <c r="J101" s="3"/>
      <c r="K101" s="3" t="s">
        <v>53</v>
      </c>
      <c r="L101" s="3" t="s">
        <v>77</v>
      </c>
      <c r="M101" s="3" t="s">
        <v>457</v>
      </c>
      <c r="N101" s="3" t="s">
        <v>56</v>
      </c>
      <c r="O101" s="3" t="s">
        <v>57</v>
      </c>
      <c r="P101" s="3">
        <v>100000</v>
      </c>
      <c r="Q101" s="3">
        <v>200000</v>
      </c>
      <c r="R101" s="3" t="s">
        <v>71</v>
      </c>
      <c r="S101" s="3" t="s">
        <v>458</v>
      </c>
      <c r="T101" s="7">
        <v>46218</v>
      </c>
      <c r="U101" s="3" t="s">
        <v>459</v>
      </c>
      <c r="V101" s="6">
        <f>IF(E101="","",IFERROR(VLOOKUP(E101,Scoring_Lookups!$A$5:$B$18,2,FALSE()),0))</f>
        <v>10</v>
      </c>
      <c r="W101" s="6">
        <f t="shared" ref="W101:W130" si="24">IF(F101="","",IF(AND(F101&gt;=50,F101&lt;=1000),10,IF(OR(AND(F101&gt;=20,F101&lt;=49),AND(F101&gt;=1001,F101&lt;=2000)),7,IF(OR(AND(F101&gt;=10,F101&lt;=19),AND(F101&gt;=2001,F101&lt;=5000)),4,0))))</f>
        <v>10</v>
      </c>
      <c r="X101" s="6">
        <f>IF(C101="","",IFERROR(VLOOKUP(C101,Scoring_Lookups!$D$5:$E$35,2,FALSE()),0))</f>
        <v>8</v>
      </c>
      <c r="Y101" s="6">
        <f>IF(G101="","",IFERROR(VLOOKUP(G101,Scoring_Lookups!$G$5:$H$16,2,FALSE()),0))</f>
        <v>8</v>
      </c>
      <c r="Z101" s="6">
        <f t="shared" ref="Z101:Z130" ca="1" si="25">IF(I101="","",IF(OR(I101="Administration/Insolvency",I101="Pending Wind-down",I101="Sanctions Exposure"),0,IF(OR(AND(OR(I101="Series B",I101="Series C",I101="Series D+"),J101&lt;&gt;"",J101&gt;=TODAY()-730),I101="PE-controlled Growth Mandate",I101="Listed with Growth Profile"),8,IF(OR(I101="Series A",I101="Bootstrapped Profitable",I101="PE-controlled Stable",AND(OR(I101="Series B",I101="Series C",I101="Series D+"),J101&lt;&gt;"",J101&lt;TODAY()-730)),6,IF(OR(I101="Seed",I101="Bootstrapped",I101="Listed Stable",I101="Established Private Flat"),3,0)))))</f>
        <v>0</v>
      </c>
      <c r="AA101" s="6">
        <f ca="1">IF(N101="Yes",0,IF(A101="",0,IF(COUNTIFS('04_Triggers'!B:B,A101,'04_Triggers'!D:D,"&gt;="&amp;(TODAY()-365))&gt;=2,20,IF(COUNTIFS('04_Triggers'!B:B,A101,'04_Triggers'!D:D,"&gt;="&amp;(TODAY()-365),'04_Triggers'!G:G,"High")&gt;=1,14,IF(COUNTIFS('04_Triggers'!B:B,A101,'04_Triggers'!D:D,"&gt;="&amp;(TODAY()-365))&gt;=1,7,IF(COUNTIFS('04_Triggers'!B:B,A101,'04_Triggers'!D:D,"&gt;="&amp;(TODAY()-1095),'04_Triggers'!D:D,"&lt;"&amp;(TODAY()-365))&gt;=1,7,0))))))</f>
        <v>7</v>
      </c>
      <c r="AB101" s="6">
        <f>IF(M101="","",IFERROR(VLOOKUP(M101,Scoring_Lookups!$J$5:$K$16,2,FALSE()),0))</f>
        <v>8</v>
      </c>
      <c r="AC101" s="6">
        <f>IF(O101="","",IFERROR(VLOOKUP(O101,Scoring_Lookups!$M$5:$N$8,2,FALSE()),0))</f>
        <v>6</v>
      </c>
      <c r="AD101" s="6">
        <f>IF(L101="","",IFERROR(VLOOKUP(L101,Scoring_Lookups!$P$5:$Q$9,2,FALSE()),0))</f>
        <v>8</v>
      </c>
      <c r="AE101" s="6">
        <f t="shared" ref="AE101:AE130" si="26">IF(AND(P101="",Q101="",R101=""),"",IF(OR(IFERROR(MAX(P101,Q101),0)&gt;=500000,R101="Yes"),10,IF(IFERROR(MAX(P101,Q101),0)&gt;=100000,7,IF(IFERROR(MAX(P101,Q101),0)&gt;=10000,4,0))))</f>
        <v>10</v>
      </c>
      <c r="AF101" s="6">
        <f t="shared" ref="AF101:AF132" ca="1" si="27">IFERROR(N(V101)+N(W101)+N(X101)+N(Y101)+N(Z101)+N(AA101)+N(AB101)+N(AC101)+N(AD101)+N(AE101),0)</f>
        <v>75</v>
      </c>
      <c r="AG101" s="6" t="str">
        <f t="shared" ref="AG101:AG130" si="28">IF(OR(E101="",C101="",G101=""),"Not scored",IF(OR(V101=0,X101=0,Y101=0,N101="Yes"),"DQ Gating","OK"))</f>
        <v>OK</v>
      </c>
      <c r="AH101" s="6" t="s">
        <v>56</v>
      </c>
      <c r="AI101" s="6" t="str">
        <f t="shared" ref="AI101:AI132" ca="1" si="29">IF(AG101="Not scored","",IF(OR(AG101="DQ Gating",AH101="Yes"),"Disqualified",IF(AF101&gt;=80,"Priority 1",IF(AF101&gt;=60,"Priority 2",IF(AF101&gt;=40,"Priority 3","Disqualified")))))</f>
        <v>Priority 2</v>
      </c>
      <c r="AJ101" s="3" t="str">
        <f t="shared" ref="AJ101:AJ130" ca="1" si="30">IF(AG101="Not scored","","P1 "&amp;IF(E101="","?",E101)&amp;"="&amp;V101&amp;" | P2 "&amp;IF(F101="","?",F101)&amp;"="&amp;W101&amp;" | P3 "&amp;IF(C101="","?",C101)&amp;"="&amp;X101&amp;" | P4 "&amp;IF(G101="","?",G101)&amp;"="&amp;Y101&amp;" | P5 "&amp;IF(I101="","?",I101)&amp;"="&amp;Z101&amp;" | P6="&amp;AA101&amp;" | P7 "&amp;IF(M101="","?",M101)&amp;"="&amp;AB101&amp;" | P8 "&amp;IF(O101="","?",O101)&amp;"="&amp;AC101&amp;" | P9 "&amp;IF(L101="","?",L101)&amp;"="&amp;AD101&amp;" | P10="&amp;AE101)</f>
        <v>P1 Digital Banking=10 | P2 183=10 | P3 United Kingdom=8 | P4 EMI Licence=8 | P5 Series B=0 | P6=7 | P7 Episode Six=8 | P8 Cloud-native (AWS/Azure/GCP), API-first, AI signals=6 | P9 Existing BIN Sponsor Relationship=8 | P10=10</v>
      </c>
      <c r="AK101" s="3"/>
      <c r="AL101" s="3" t="s">
        <v>61</v>
      </c>
      <c r="AM101" s="3" t="s">
        <v>56</v>
      </c>
      <c r="AN101" s="3"/>
      <c r="AO101" s="3" t="s">
        <v>92</v>
      </c>
      <c r="AP101" s="3" t="str">
        <f t="shared" ref="AP101:AP132" si="31">IF(AO101="","Not set",IF(OR(AO101="Q1 2027",AO101="Q2 2027",AO101="Q3 2027",AO101="Q4 2027",AO101="Live, Migration Window"),"OK",IF(AO101="Live, Urgent Need","Deferred","Watch")))</f>
        <v>OK</v>
      </c>
      <c r="AQ101" s="4" t="s">
        <v>63</v>
      </c>
    </row>
    <row r="102" spans="1:43" ht="99.75" customHeight="1" x14ac:dyDescent="0.2">
      <c r="A102" s="3" t="s">
        <v>460</v>
      </c>
      <c r="B102" s="3" t="s">
        <v>461</v>
      </c>
      <c r="C102" s="3" t="s">
        <v>426</v>
      </c>
      <c r="D102" s="3" t="s">
        <v>134</v>
      </c>
      <c r="E102" s="3" t="s">
        <v>135</v>
      </c>
      <c r="F102" s="3">
        <v>80</v>
      </c>
      <c r="G102" s="3" t="s">
        <v>136</v>
      </c>
      <c r="H102" s="3" t="s">
        <v>68</v>
      </c>
      <c r="I102" s="3" t="s">
        <v>69</v>
      </c>
      <c r="J102" s="3"/>
      <c r="K102" s="3" t="s">
        <v>137</v>
      </c>
      <c r="L102" s="3" t="s">
        <v>138</v>
      </c>
      <c r="M102" s="3" t="s">
        <v>392</v>
      </c>
      <c r="N102" s="3" t="s">
        <v>56</v>
      </c>
      <c r="O102" s="3" t="s">
        <v>57</v>
      </c>
      <c r="P102" s="3">
        <v>100000</v>
      </c>
      <c r="Q102" s="3">
        <v>150000</v>
      </c>
      <c r="R102" s="3" t="s">
        <v>71</v>
      </c>
      <c r="S102" s="3" t="s">
        <v>462</v>
      </c>
      <c r="T102" s="7">
        <v>46218</v>
      </c>
      <c r="U102" s="3" t="s">
        <v>463</v>
      </c>
      <c r="V102" s="6">
        <f>IF(E102="","",IFERROR(VLOOKUP(E102,Scoring_Lookups!$A$5:$B$18,2,FALSE()),0))</f>
        <v>10</v>
      </c>
      <c r="W102" s="6">
        <f t="shared" si="24"/>
        <v>10</v>
      </c>
      <c r="X102" s="6">
        <f>IF(C102="","",IFERROR(VLOOKUP(C102,Scoring_Lookups!$D$5:$E$35,2,FALSE()),0))</f>
        <v>5</v>
      </c>
      <c r="Y102" s="6">
        <f>IF(G102="","",IFERROR(VLOOKUP(G102,Scoring_Lookups!$G$5:$H$16,2,FALSE()),0))</f>
        <v>8</v>
      </c>
      <c r="Z102" s="6">
        <f t="shared" ca="1" si="25"/>
        <v>6</v>
      </c>
      <c r="AA102" s="6">
        <f ca="1">IF(N102="Yes",0,IF(A102="",0,IF(COUNTIFS('04_Triggers'!B:B,A102,'04_Triggers'!D:D,"&gt;="&amp;(TODAY()-365))&gt;=2,20,IF(COUNTIFS('04_Triggers'!B:B,A102,'04_Triggers'!D:D,"&gt;="&amp;(TODAY()-365),'04_Triggers'!G:G,"High")&gt;=1,14,IF(COUNTIFS('04_Triggers'!B:B,A102,'04_Triggers'!D:D,"&gt;="&amp;(TODAY()-365))&gt;=1,7,IF(COUNTIFS('04_Triggers'!B:B,A102,'04_Triggers'!D:D,"&gt;="&amp;(TODAY()-1095),'04_Triggers'!D:D,"&lt;"&amp;(TODAY()-365))&gt;=1,7,0))))))</f>
        <v>0</v>
      </c>
      <c r="AB102" s="6">
        <f>IF(M102="","",IFERROR(VLOOKUP(M102,Scoring_Lookups!$J$5:$K$16,2,FALSE()),0))</f>
        <v>8</v>
      </c>
      <c r="AC102" s="6">
        <f>IF(O102="","",IFERROR(VLOOKUP(O102,Scoring_Lookups!$M$5:$N$8,2,FALSE()),0))</f>
        <v>6</v>
      </c>
      <c r="AD102" s="6">
        <f>IF(L102="","",IFERROR(VLOOKUP(L102,Scoring_Lookups!$P$5:$Q$9,2,FALSE()),0))</f>
        <v>8</v>
      </c>
      <c r="AE102" s="6">
        <f t="shared" si="26"/>
        <v>10</v>
      </c>
      <c r="AF102" s="6">
        <f t="shared" ca="1" si="27"/>
        <v>71</v>
      </c>
      <c r="AG102" s="6" t="str">
        <f t="shared" si="28"/>
        <v>OK</v>
      </c>
      <c r="AH102" s="6" t="s">
        <v>56</v>
      </c>
      <c r="AI102" s="6" t="str">
        <f t="shared" ca="1" si="29"/>
        <v>Priority 2</v>
      </c>
      <c r="AJ102" s="3" t="str">
        <f t="shared" ca="1" si="30"/>
        <v>P1 Digital Banking=10 | P2 80=10 | P3 Sweden=5 | P4 Credit Institution Licence=8 | P5 Bootstrapped Profitable=6 | P6=0 | P7 Enfuce=8 | P8 Cloud-native (AWS/Azure/GCP), API-first, AI signals=6 | P9 Scheme Principal=8 | P10=10</v>
      </c>
      <c r="AK102" s="3"/>
      <c r="AL102" s="3" t="s">
        <v>61</v>
      </c>
      <c r="AM102" s="3" t="s">
        <v>56</v>
      </c>
      <c r="AN102" s="3"/>
      <c r="AO102" s="3" t="s">
        <v>92</v>
      </c>
      <c r="AP102" s="3" t="str">
        <f t="shared" si="31"/>
        <v>OK</v>
      </c>
      <c r="AQ102" s="3" t="s">
        <v>84</v>
      </c>
    </row>
    <row r="103" spans="1:43" ht="99.75" customHeight="1" x14ac:dyDescent="0.2">
      <c r="A103" s="3" t="s">
        <v>464</v>
      </c>
      <c r="B103" s="3" t="s">
        <v>465</v>
      </c>
      <c r="C103" s="3" t="s">
        <v>47</v>
      </c>
      <c r="D103" s="3" t="s">
        <v>180</v>
      </c>
      <c r="E103" s="3" t="s">
        <v>181</v>
      </c>
      <c r="F103" s="3">
        <v>600</v>
      </c>
      <c r="G103" s="3" t="s">
        <v>182</v>
      </c>
      <c r="H103" s="3" t="s">
        <v>68</v>
      </c>
      <c r="I103" s="3" t="s">
        <v>69</v>
      </c>
      <c r="J103" s="3"/>
      <c r="K103" s="3" t="s">
        <v>184</v>
      </c>
      <c r="L103" s="3" t="s">
        <v>54</v>
      </c>
      <c r="M103" s="3" t="s">
        <v>55</v>
      </c>
      <c r="N103" s="3" t="s">
        <v>56</v>
      </c>
      <c r="O103" s="3" t="s">
        <v>70</v>
      </c>
      <c r="P103" s="3">
        <v>0</v>
      </c>
      <c r="Q103" s="3">
        <v>100000</v>
      </c>
      <c r="R103" s="3" t="s">
        <v>71</v>
      </c>
      <c r="S103" s="3" t="s">
        <v>466</v>
      </c>
      <c r="T103" s="7">
        <v>46218</v>
      </c>
      <c r="U103" s="3" t="s">
        <v>467</v>
      </c>
      <c r="V103" s="6">
        <f>IF(E103="","",IFERROR(VLOOKUP(E103,Scoring_Lookups!$A$5:$B$18,2,FALSE()),0))</f>
        <v>4</v>
      </c>
      <c r="W103" s="6">
        <f t="shared" si="24"/>
        <v>10</v>
      </c>
      <c r="X103" s="6">
        <f>IF(C103="","",IFERROR(VLOOKUP(C103,Scoring_Lookups!$D$5:$E$35,2,FALSE()),0))</f>
        <v>12</v>
      </c>
      <c r="Y103" s="6">
        <f>IF(G103="","",IFERROR(VLOOKUP(G103,Scoring_Lookups!$G$5:$H$16,2,FALSE()),0))</f>
        <v>0</v>
      </c>
      <c r="Z103" s="6">
        <f t="shared" ca="1" si="25"/>
        <v>6</v>
      </c>
      <c r="AA103" s="6">
        <f ca="1">IF(N103="Yes",0,IF(A103="",0,IF(COUNTIFS('04_Triggers'!B:B,A103,'04_Triggers'!D:D,"&gt;="&amp;(TODAY()-365))&gt;=2,20,IF(COUNTIFS('04_Triggers'!B:B,A103,'04_Triggers'!D:D,"&gt;="&amp;(TODAY()-365),'04_Triggers'!G:G,"High")&gt;=1,14,IF(COUNTIFS('04_Triggers'!B:B,A103,'04_Triggers'!D:D,"&gt;="&amp;(TODAY()-365))&gt;=1,7,IF(COUNTIFS('04_Triggers'!B:B,A103,'04_Triggers'!D:D,"&gt;="&amp;(TODAY()-1095),'04_Triggers'!D:D,"&lt;"&amp;(TODAY()-365))&gt;=1,7,0))))))</f>
        <v>0</v>
      </c>
      <c r="AB103" s="6">
        <f>IF(M103="","",IFERROR(VLOOKUP(M103,Scoring_Lookups!$J$5:$K$16,2,FALSE()),0))</f>
        <v>4</v>
      </c>
      <c r="AC103" s="6">
        <f>IF(O103="","",IFERROR(VLOOKUP(O103,Scoring_Lookups!$M$5:$N$8,2,FALSE()),0))</f>
        <v>4</v>
      </c>
      <c r="AD103" s="6">
        <f>IF(L103="","",IFERROR(VLOOKUP(L103,Scoring_Lookups!$P$5:$Q$9,2,FALSE()),0))</f>
        <v>3</v>
      </c>
      <c r="AE103" s="6">
        <f t="shared" si="26"/>
        <v>10</v>
      </c>
      <c r="AF103" s="6">
        <f t="shared" ca="1" si="27"/>
        <v>53</v>
      </c>
      <c r="AG103" s="6" t="str">
        <f t="shared" si="28"/>
        <v>DQ Gating</v>
      </c>
      <c r="AH103" s="6" t="s">
        <v>56</v>
      </c>
      <c r="AI103" s="6" t="str">
        <f t="shared" si="29"/>
        <v>Disqualified</v>
      </c>
      <c r="AJ103" s="3" t="str">
        <f t="shared" ca="1" si="30"/>
        <v>P1 Ecommerce=4 | P2 600=10 | P3 Poland=12 | P4 Unlicensed, No Sponsor=0 | P5 Bootstrapped Profitable=6 | P6=0 | P7 Planning to Launch (No Incumbent Yet)=4 | P8 Cloud modern, Not API-first=4 | P9 No Sponsor, Licensing Suggests Imminent=3 | P10=10</v>
      </c>
      <c r="AK103" s="3"/>
      <c r="AL103" s="3" t="s">
        <v>61</v>
      </c>
      <c r="AM103" s="3" t="s">
        <v>56</v>
      </c>
      <c r="AN103" s="3"/>
      <c r="AO103" s="3" t="s">
        <v>100</v>
      </c>
      <c r="AP103" s="3" t="str">
        <f t="shared" si="31"/>
        <v>OK</v>
      </c>
      <c r="AQ103" s="4" t="s">
        <v>63</v>
      </c>
    </row>
    <row r="104" spans="1:43" ht="15" customHeight="1" x14ac:dyDescent="0.2">
      <c r="A104" t="s">
        <v>468</v>
      </c>
      <c r="B104" t="s">
        <v>469</v>
      </c>
      <c r="C104" t="s">
        <v>359</v>
      </c>
      <c r="D104" t="s">
        <v>48</v>
      </c>
      <c r="E104" t="s">
        <v>49</v>
      </c>
      <c r="F104">
        <v>6</v>
      </c>
      <c r="G104" t="s">
        <v>118</v>
      </c>
      <c r="H104" t="s">
        <v>51</v>
      </c>
      <c r="I104" t="s">
        <v>52</v>
      </c>
      <c r="J104" s="12">
        <v>45672</v>
      </c>
      <c r="K104" t="s">
        <v>53</v>
      </c>
      <c r="L104" t="s">
        <v>54</v>
      </c>
      <c r="M104" t="s">
        <v>55</v>
      </c>
      <c r="N104" t="s">
        <v>56</v>
      </c>
      <c r="O104" t="s">
        <v>57</v>
      </c>
      <c r="P104">
        <v>0</v>
      </c>
      <c r="Q104">
        <v>20000</v>
      </c>
      <c r="R104" t="s">
        <v>56</v>
      </c>
      <c r="S104" t="s">
        <v>470</v>
      </c>
      <c r="T104" s="12">
        <v>46253</v>
      </c>
      <c r="U104" t="s">
        <v>471</v>
      </c>
      <c r="V104">
        <f>IF(E104="","",IFERROR(VLOOKUP(E104,Scoring_Lookups!$A$5:$B$18,2,FALSE()),0))</f>
        <v>4</v>
      </c>
      <c r="W104">
        <f t="shared" si="24"/>
        <v>0</v>
      </c>
      <c r="X104">
        <f>IF(C104="","",IFERROR(VLOOKUP(C104,Scoring_Lookups!$D$5:$E$35,2,FALSE()),0))</f>
        <v>5</v>
      </c>
      <c r="Y104">
        <f>IF(G104="","",IFERROR(VLOOKUP(G104,Scoring_Lookups!$G$5:$H$16,2,FALSE()),0))</f>
        <v>3</v>
      </c>
      <c r="Z104">
        <f t="shared" ca="1" si="25"/>
        <v>3</v>
      </c>
      <c r="AA104">
        <f ca="1">IF(N104="Yes",0,IF(A104="",0,IF(COUNTIFS('04_Triggers'!B:B,A104,'04_Triggers'!D:D,"&gt;="&amp;(TODAY()-365))&gt;=2,20,IF(COUNTIFS('04_Triggers'!B:B,A104,'04_Triggers'!D:D,"&gt;="&amp;(TODAY()-365),'04_Triggers'!G:G,"High")&gt;=1,14,IF(COUNTIFS('04_Triggers'!B:B,A104,'04_Triggers'!D:D,"&gt;="&amp;(TODAY()-365))&gt;=1,7,IF(COUNTIFS('04_Triggers'!B:B,A104,'04_Triggers'!D:D,"&gt;="&amp;(TODAY()-1095),'04_Triggers'!D:D,"&lt;"&amp;(TODAY()-365))&gt;=1,7,0))))))</f>
        <v>7</v>
      </c>
      <c r="AB104">
        <f>IF(M104="","",IFERROR(VLOOKUP(M104,Scoring_Lookups!$J$5:$K$16,2,FALSE()),0))</f>
        <v>4</v>
      </c>
      <c r="AC104">
        <f>IF(O104="","",IFERROR(VLOOKUP(O104,Scoring_Lookups!$M$5:$N$8,2,FALSE()),0))</f>
        <v>6</v>
      </c>
      <c r="AD104">
        <f>IF(L104="","",IFERROR(VLOOKUP(L104,Scoring_Lookups!$P$5:$Q$9,2,FALSE()),0))</f>
        <v>3</v>
      </c>
      <c r="AE104">
        <f t="shared" si="26"/>
        <v>4</v>
      </c>
      <c r="AF104">
        <f t="shared" ca="1" si="27"/>
        <v>39</v>
      </c>
      <c r="AG104" t="str">
        <f t="shared" si="28"/>
        <v>OK</v>
      </c>
      <c r="AH104" t="s">
        <v>56</v>
      </c>
      <c r="AI104" t="str">
        <f t="shared" ca="1" si="29"/>
        <v>Disqualified</v>
      </c>
      <c r="AJ104" t="str">
        <f t="shared" ca="1" si="30"/>
        <v>P1 Payments=4 | P2 6=0 | P3 Germany=5 | P4 No Licence, BIN Sponsor Engaged=3 | P5 Seed=3 | P6=7 | P7 Planning to Launch (No Incumbent Yet)=4 | P8 Cloud-native (AWS/Azure/GCP), API-first, AI signals=6 | P9 No Sponsor, Licensing Suggests Imminent=3 | P10=4</v>
      </c>
      <c r="AL104" t="s">
        <v>61</v>
      </c>
      <c r="AM104" t="s">
        <v>56</v>
      </c>
      <c r="AO104" t="s">
        <v>100</v>
      </c>
      <c r="AP104" t="str">
        <f t="shared" si="31"/>
        <v>OK</v>
      </c>
      <c r="AQ104" t="s">
        <v>472</v>
      </c>
    </row>
    <row r="105" spans="1:43" ht="15" customHeight="1" x14ac:dyDescent="0.2">
      <c r="A105" t="s">
        <v>473</v>
      </c>
      <c r="B105" t="s">
        <v>474</v>
      </c>
      <c r="C105" t="s">
        <v>359</v>
      </c>
      <c r="D105" t="s">
        <v>48</v>
      </c>
      <c r="E105" t="s">
        <v>49</v>
      </c>
      <c r="F105">
        <v>45</v>
      </c>
      <c r="G105" t="s">
        <v>50</v>
      </c>
      <c r="H105" t="s">
        <v>96</v>
      </c>
      <c r="I105" t="s">
        <v>97</v>
      </c>
      <c r="K105" t="s">
        <v>53</v>
      </c>
      <c r="L105" t="s">
        <v>77</v>
      </c>
      <c r="M105" t="s">
        <v>89</v>
      </c>
      <c r="N105" t="s">
        <v>56</v>
      </c>
      <c r="O105" t="s">
        <v>70</v>
      </c>
      <c r="P105">
        <v>50000</v>
      </c>
      <c r="Q105">
        <v>100000</v>
      </c>
      <c r="R105" t="s">
        <v>71</v>
      </c>
      <c r="S105" t="s">
        <v>470</v>
      </c>
      <c r="T105" s="12">
        <v>46253</v>
      </c>
      <c r="U105" t="s">
        <v>475</v>
      </c>
      <c r="V105">
        <f>IF(E105="","",IFERROR(VLOOKUP(E105,Scoring_Lookups!$A$5:$B$18,2,FALSE()),0))</f>
        <v>4</v>
      </c>
      <c r="W105">
        <f t="shared" si="24"/>
        <v>7</v>
      </c>
      <c r="X105">
        <f>IF(C105="","",IFERROR(VLOOKUP(C105,Scoring_Lookups!$D$5:$E$35,2,FALSE()),0))</f>
        <v>5</v>
      </c>
      <c r="Y105">
        <f>IF(G105="","",IFERROR(VLOOKUP(G105,Scoring_Lookups!$G$5:$H$16,2,FALSE()),0))</f>
        <v>6</v>
      </c>
      <c r="Z105">
        <f t="shared" ca="1" si="25"/>
        <v>6</v>
      </c>
      <c r="AA105">
        <f ca="1">IF(N105="Yes",0,IF(A105="",0,IF(COUNTIFS('04_Triggers'!B:B,A105,'04_Triggers'!D:D,"&gt;="&amp;(TODAY()-365))&gt;=2,20,IF(COUNTIFS('04_Triggers'!B:B,A105,'04_Triggers'!D:D,"&gt;="&amp;(TODAY()-365),'04_Triggers'!G:G,"High")&gt;=1,14,IF(COUNTIFS('04_Triggers'!B:B,A105,'04_Triggers'!D:D,"&gt;="&amp;(TODAY()-365))&gt;=1,7,IF(COUNTIFS('04_Triggers'!B:B,A105,'04_Triggers'!D:D,"&gt;="&amp;(TODAY()-1095),'04_Triggers'!D:D,"&lt;"&amp;(TODAY()-365))&gt;=1,7,0))))))</f>
        <v>7</v>
      </c>
      <c r="AB105">
        <f>IF(M105="","",IFERROR(VLOOKUP(M105,Scoring_Lookups!$J$5:$K$16,2,FALSE()),0))</f>
        <v>3</v>
      </c>
      <c r="AC105">
        <f>IF(O105="","",IFERROR(VLOOKUP(O105,Scoring_Lookups!$M$5:$N$8,2,FALSE()),0))</f>
        <v>4</v>
      </c>
      <c r="AD105">
        <f>IF(L105="","",IFERROR(VLOOKUP(L105,Scoring_Lookups!$P$5:$Q$9,2,FALSE()),0))</f>
        <v>8</v>
      </c>
      <c r="AE105">
        <f t="shared" si="26"/>
        <v>10</v>
      </c>
      <c r="AF105">
        <f t="shared" ca="1" si="27"/>
        <v>60</v>
      </c>
      <c r="AG105" t="str">
        <f t="shared" si="28"/>
        <v>OK</v>
      </c>
      <c r="AH105" t="s">
        <v>56</v>
      </c>
      <c r="AI105" t="str">
        <f t="shared" ca="1" si="29"/>
        <v>Priority 2</v>
      </c>
      <c r="AJ105" t="str">
        <f t="shared" ca="1" si="30"/>
        <v>P1 Payments=4 | P2 45=7 | P3 Germany=5 | P4 PI Licence=6 | P5 PE-controlled Stable=6 | P6=7 | P7 Incumbent Unknown=3 | P8 Cloud modern, Not API-first=4 | P9 Existing BIN Sponsor Relationship=8 | P10=10</v>
      </c>
      <c r="AL105" t="s">
        <v>61</v>
      </c>
      <c r="AM105" t="s">
        <v>56</v>
      </c>
      <c r="AO105" t="s">
        <v>92</v>
      </c>
      <c r="AP105" t="str">
        <f t="shared" si="31"/>
        <v>OK</v>
      </c>
      <c r="AQ105" t="s">
        <v>472</v>
      </c>
    </row>
    <row r="106" spans="1:43" ht="15" customHeight="1" x14ac:dyDescent="0.2">
      <c r="A106" t="s">
        <v>476</v>
      </c>
      <c r="B106" t="s">
        <v>477</v>
      </c>
      <c r="C106" t="s">
        <v>364</v>
      </c>
      <c r="D106" t="s">
        <v>48</v>
      </c>
      <c r="E106" t="s">
        <v>49</v>
      </c>
      <c r="F106">
        <v>40</v>
      </c>
      <c r="G106" t="s">
        <v>118</v>
      </c>
      <c r="H106" t="s">
        <v>51</v>
      </c>
      <c r="I106" t="s">
        <v>87</v>
      </c>
      <c r="K106" t="s">
        <v>53</v>
      </c>
      <c r="L106" t="s">
        <v>54</v>
      </c>
      <c r="M106" t="s">
        <v>55</v>
      </c>
      <c r="N106" t="s">
        <v>56</v>
      </c>
      <c r="O106" t="s">
        <v>57</v>
      </c>
      <c r="P106">
        <v>10000</v>
      </c>
      <c r="Q106">
        <v>40000</v>
      </c>
      <c r="R106" t="s">
        <v>71</v>
      </c>
      <c r="S106" t="s">
        <v>470</v>
      </c>
      <c r="T106" s="12">
        <v>46253</v>
      </c>
      <c r="U106" t="s">
        <v>478</v>
      </c>
      <c r="V106">
        <f>IF(E106="","",IFERROR(VLOOKUP(E106,Scoring_Lookups!$A$5:$B$18,2,FALSE()),0))</f>
        <v>4</v>
      </c>
      <c r="W106">
        <f t="shared" si="24"/>
        <v>7</v>
      </c>
      <c r="X106">
        <f>IF(C106="","",IFERROR(VLOOKUP(C106,Scoring_Lookups!$D$5:$E$35,2,FALSE()),0))</f>
        <v>8</v>
      </c>
      <c r="Y106">
        <f>IF(G106="","",IFERROR(VLOOKUP(G106,Scoring_Lookups!$G$5:$H$16,2,FALSE()),0))</f>
        <v>3</v>
      </c>
      <c r="Z106">
        <f t="shared" ca="1" si="25"/>
        <v>6</v>
      </c>
      <c r="AA106">
        <f ca="1">IF(N106="Yes",0,IF(A106="",0,IF(COUNTIFS('04_Triggers'!B:B,A106,'04_Triggers'!D:D,"&gt;="&amp;(TODAY()-365))&gt;=2,20,IF(COUNTIFS('04_Triggers'!B:B,A106,'04_Triggers'!D:D,"&gt;="&amp;(TODAY()-365),'04_Triggers'!G:G,"High")&gt;=1,14,IF(COUNTIFS('04_Triggers'!B:B,A106,'04_Triggers'!D:D,"&gt;="&amp;(TODAY()-365))&gt;=1,7,IF(COUNTIFS('04_Triggers'!B:B,A106,'04_Triggers'!D:D,"&gt;="&amp;(TODAY()-1095),'04_Triggers'!D:D,"&lt;"&amp;(TODAY()-365))&gt;=1,7,0))))))</f>
        <v>0</v>
      </c>
      <c r="AB106">
        <f>IF(M106="","",IFERROR(VLOOKUP(M106,Scoring_Lookups!$J$5:$K$16,2,FALSE()),0))</f>
        <v>4</v>
      </c>
      <c r="AC106">
        <f>IF(O106="","",IFERROR(VLOOKUP(O106,Scoring_Lookups!$M$5:$N$8,2,FALSE()),0))</f>
        <v>6</v>
      </c>
      <c r="AD106">
        <f>IF(L106="","",IFERROR(VLOOKUP(L106,Scoring_Lookups!$P$5:$Q$9,2,FALSE()),0))</f>
        <v>3</v>
      </c>
      <c r="AE106">
        <f t="shared" si="26"/>
        <v>10</v>
      </c>
      <c r="AF106">
        <f t="shared" ca="1" si="27"/>
        <v>51</v>
      </c>
      <c r="AG106" t="str">
        <f t="shared" si="28"/>
        <v>OK</v>
      </c>
      <c r="AH106" t="s">
        <v>56</v>
      </c>
      <c r="AI106" t="str">
        <f t="shared" ca="1" si="29"/>
        <v>Priority 3</v>
      </c>
      <c r="AJ106" t="str">
        <f t="shared" ca="1" si="30"/>
        <v>P1 Payments=4 | P2 40=7 | P3 United Kingdom=8 | P4 No Licence, BIN Sponsor Engaged=3 | P5 Series A=6 | P6=0 | P7 Planning to Launch (No Incumbent Yet)=4 | P8 Cloud-native (AWS/Azure/GCP), API-first, AI signals=6 | P9 No Sponsor, Licensing Suggests Imminent=3 | P10=10</v>
      </c>
      <c r="AL106" t="s">
        <v>61</v>
      </c>
      <c r="AM106" t="s">
        <v>56</v>
      </c>
      <c r="AO106" t="s">
        <v>73</v>
      </c>
      <c r="AP106" t="str">
        <f t="shared" si="31"/>
        <v>OK</v>
      </c>
      <c r="AQ106" t="s">
        <v>472</v>
      </c>
    </row>
    <row r="107" spans="1:43" ht="15" customHeight="1" x14ac:dyDescent="0.2">
      <c r="A107" t="s">
        <v>479</v>
      </c>
      <c r="B107" t="s">
        <v>480</v>
      </c>
      <c r="C107" t="s">
        <v>481</v>
      </c>
      <c r="D107" t="s">
        <v>48</v>
      </c>
      <c r="E107" t="s">
        <v>49</v>
      </c>
      <c r="F107">
        <v>100</v>
      </c>
      <c r="G107" t="s">
        <v>50</v>
      </c>
      <c r="H107" t="s">
        <v>96</v>
      </c>
      <c r="I107" t="s">
        <v>97</v>
      </c>
      <c r="K107" t="s">
        <v>482</v>
      </c>
      <c r="L107" t="s">
        <v>77</v>
      </c>
      <c r="M107" t="s">
        <v>392</v>
      </c>
      <c r="N107" t="s">
        <v>56</v>
      </c>
      <c r="O107" t="s">
        <v>70</v>
      </c>
      <c r="P107">
        <v>50000</v>
      </c>
      <c r="Q107">
        <v>100000</v>
      </c>
      <c r="R107" t="s">
        <v>71</v>
      </c>
      <c r="S107" t="s">
        <v>483</v>
      </c>
      <c r="T107" s="12">
        <v>46253</v>
      </c>
      <c r="U107" t="s">
        <v>484</v>
      </c>
      <c r="V107">
        <f>IF(E107="","",IFERROR(VLOOKUP(E107,Scoring_Lookups!$A$5:$B$18,2,FALSE()),0))</f>
        <v>4</v>
      </c>
      <c r="W107">
        <f t="shared" si="24"/>
        <v>10</v>
      </c>
      <c r="X107">
        <f>IF(C107="","",IFERROR(VLOOKUP(C107,Scoring_Lookups!$D$5:$E$35,2,FALSE()),0))</f>
        <v>8</v>
      </c>
      <c r="Y107">
        <f>IF(G107="","",IFERROR(VLOOKUP(G107,Scoring_Lookups!$G$5:$H$16,2,FALSE()),0))</f>
        <v>6</v>
      </c>
      <c r="Z107">
        <f t="shared" ca="1" si="25"/>
        <v>6</v>
      </c>
      <c r="AA107">
        <f ca="1">IF(N107="Yes",0,IF(A107="",0,IF(COUNTIFS('04_Triggers'!B:B,A107,'04_Triggers'!D:D,"&gt;="&amp;(TODAY()-365))&gt;=2,20,IF(COUNTIFS('04_Triggers'!B:B,A107,'04_Triggers'!D:D,"&gt;="&amp;(TODAY()-365),'04_Triggers'!G:G,"High")&gt;=1,14,IF(COUNTIFS('04_Triggers'!B:B,A107,'04_Triggers'!D:D,"&gt;="&amp;(TODAY()-365))&gt;=1,7,IF(COUNTIFS('04_Triggers'!B:B,A107,'04_Triggers'!D:D,"&gt;="&amp;(TODAY()-1095),'04_Triggers'!D:D,"&lt;"&amp;(TODAY()-365))&gt;=1,7,0))))))</f>
        <v>7</v>
      </c>
      <c r="AB107">
        <f>IF(M107="","",IFERROR(VLOOKUP(M107,Scoring_Lookups!$J$5:$K$16,2,FALSE()),0))</f>
        <v>8</v>
      </c>
      <c r="AC107">
        <f>IF(O107="","",IFERROR(VLOOKUP(O107,Scoring_Lookups!$M$5:$N$8,2,FALSE()),0))</f>
        <v>4</v>
      </c>
      <c r="AD107">
        <f>IF(L107="","",IFERROR(VLOOKUP(L107,Scoring_Lookups!$P$5:$Q$9,2,FALSE()),0))</f>
        <v>8</v>
      </c>
      <c r="AE107">
        <f t="shared" si="26"/>
        <v>10</v>
      </c>
      <c r="AF107">
        <f t="shared" ca="1" si="27"/>
        <v>71</v>
      </c>
      <c r="AG107" t="str">
        <f t="shared" si="28"/>
        <v>OK</v>
      </c>
      <c r="AH107" t="s">
        <v>56</v>
      </c>
      <c r="AI107" t="str">
        <f t="shared" ca="1" si="29"/>
        <v>Priority 2</v>
      </c>
      <c r="AJ107" t="str">
        <f t="shared" ca="1" si="30"/>
        <v>P1 Payments=4 | P2 100=10 | P3 Netherlands=8 | P4 PI Licence=6 | P5 PE-controlled Stable=6 | P6=7 | P7 Enfuce=8 | P8 Cloud modern, Not API-first=4 | P9 Existing BIN Sponsor Relationship=8 | P10=10</v>
      </c>
      <c r="AL107" t="s">
        <v>61</v>
      </c>
      <c r="AM107" t="s">
        <v>56</v>
      </c>
      <c r="AO107" t="s">
        <v>92</v>
      </c>
      <c r="AP107" t="str">
        <f t="shared" si="31"/>
        <v>OK</v>
      </c>
      <c r="AQ107" t="s">
        <v>472</v>
      </c>
    </row>
    <row r="108" spans="1:43" ht="15" customHeight="1" x14ac:dyDescent="0.2">
      <c r="A108" t="s">
        <v>485</v>
      </c>
      <c r="B108" t="s">
        <v>486</v>
      </c>
      <c r="C108" t="s">
        <v>364</v>
      </c>
      <c r="D108" t="s">
        <v>48</v>
      </c>
      <c r="E108" t="s">
        <v>49</v>
      </c>
      <c r="F108">
        <v>15</v>
      </c>
      <c r="G108" t="s">
        <v>118</v>
      </c>
      <c r="H108" t="s">
        <v>51</v>
      </c>
      <c r="I108" t="s">
        <v>52</v>
      </c>
      <c r="J108" s="12">
        <v>45931</v>
      </c>
      <c r="K108" t="s">
        <v>184</v>
      </c>
      <c r="L108" t="s">
        <v>54</v>
      </c>
      <c r="M108" t="s">
        <v>55</v>
      </c>
      <c r="N108" t="s">
        <v>56</v>
      </c>
      <c r="O108" t="s">
        <v>57</v>
      </c>
      <c r="P108">
        <v>0</v>
      </c>
      <c r="Q108">
        <v>30000</v>
      </c>
      <c r="R108" t="s">
        <v>71</v>
      </c>
      <c r="S108" t="s">
        <v>487</v>
      </c>
      <c r="T108" s="12">
        <v>46253</v>
      </c>
      <c r="U108" t="s">
        <v>488</v>
      </c>
      <c r="V108">
        <f>IF(E108="","",IFERROR(VLOOKUP(E108,Scoring_Lookups!$A$5:$B$18,2,FALSE()),0))</f>
        <v>4</v>
      </c>
      <c r="W108">
        <f t="shared" si="24"/>
        <v>4</v>
      </c>
      <c r="X108">
        <f>IF(C108="","",IFERROR(VLOOKUP(C108,Scoring_Lookups!$D$5:$E$35,2,FALSE()),0))</f>
        <v>8</v>
      </c>
      <c r="Y108">
        <f>IF(G108="","",IFERROR(VLOOKUP(G108,Scoring_Lookups!$G$5:$H$16,2,FALSE()),0))</f>
        <v>3</v>
      </c>
      <c r="Z108">
        <f t="shared" ca="1" si="25"/>
        <v>3</v>
      </c>
      <c r="AA108">
        <f ca="1">IF(N108="Yes",0,IF(A108="",0,IF(COUNTIFS('04_Triggers'!B:B,A108,'04_Triggers'!D:D,"&gt;="&amp;(TODAY()-365))&gt;=2,20,IF(COUNTIFS('04_Triggers'!B:B,A108,'04_Triggers'!D:D,"&gt;="&amp;(TODAY()-365),'04_Triggers'!G:G,"High")&gt;=1,14,IF(COUNTIFS('04_Triggers'!B:B,A108,'04_Triggers'!D:D,"&gt;="&amp;(TODAY()-365))&gt;=1,7,IF(COUNTIFS('04_Triggers'!B:B,A108,'04_Triggers'!D:D,"&gt;="&amp;(TODAY()-1095),'04_Triggers'!D:D,"&lt;"&amp;(TODAY()-365))&gt;=1,7,0))))))</f>
        <v>14</v>
      </c>
      <c r="AB108">
        <f>IF(M108="","",IFERROR(VLOOKUP(M108,Scoring_Lookups!$J$5:$K$16,2,FALSE()),0))</f>
        <v>4</v>
      </c>
      <c r="AC108">
        <f>IF(O108="","",IFERROR(VLOOKUP(O108,Scoring_Lookups!$M$5:$N$8,2,FALSE()),0))</f>
        <v>6</v>
      </c>
      <c r="AD108">
        <f>IF(L108="","",IFERROR(VLOOKUP(L108,Scoring_Lookups!$P$5:$Q$9,2,FALSE()),0))</f>
        <v>3</v>
      </c>
      <c r="AE108">
        <f t="shared" si="26"/>
        <v>10</v>
      </c>
      <c r="AF108">
        <f t="shared" ca="1" si="27"/>
        <v>59</v>
      </c>
      <c r="AG108" t="str">
        <f t="shared" si="28"/>
        <v>OK</v>
      </c>
      <c r="AH108" t="s">
        <v>56</v>
      </c>
      <c r="AI108" t="str">
        <f t="shared" ca="1" si="29"/>
        <v>Priority 3</v>
      </c>
      <c r="AJ108" t="str">
        <f t="shared" ca="1" si="30"/>
        <v>P1 Payments=4 | P2 15=4 | P3 United Kingdom=8 | P4 No Licence, BIN Sponsor Engaged=3 | P5 Seed=3 | P6=14 | P7 Planning to Launch (No Incumbent Yet)=4 | P8 Cloud-native (AWS/Azure/GCP), API-first, AI signals=6 | P9 No Sponsor, Licensing Suggests Imminent=3 | P10=10</v>
      </c>
      <c r="AL108" t="s">
        <v>61</v>
      </c>
      <c r="AM108" t="s">
        <v>56</v>
      </c>
      <c r="AO108" t="s">
        <v>62</v>
      </c>
      <c r="AP108" t="str">
        <f t="shared" si="31"/>
        <v>OK</v>
      </c>
      <c r="AQ108" t="s">
        <v>472</v>
      </c>
    </row>
    <row r="109" spans="1:43" ht="15" customHeight="1" x14ac:dyDescent="0.2">
      <c r="A109" t="s">
        <v>489</v>
      </c>
      <c r="B109" t="s">
        <v>490</v>
      </c>
      <c r="C109" t="s">
        <v>203</v>
      </c>
      <c r="D109" t="s">
        <v>48</v>
      </c>
      <c r="E109" t="s">
        <v>49</v>
      </c>
      <c r="F109">
        <v>2000</v>
      </c>
      <c r="G109" t="s">
        <v>50</v>
      </c>
      <c r="H109" t="s">
        <v>81</v>
      </c>
      <c r="I109" t="s">
        <v>322</v>
      </c>
      <c r="K109" t="s">
        <v>137</v>
      </c>
      <c r="L109" t="s">
        <v>138</v>
      </c>
      <c r="M109" t="s">
        <v>130</v>
      </c>
      <c r="N109" t="s">
        <v>56</v>
      </c>
      <c r="O109" t="s">
        <v>70</v>
      </c>
      <c r="P109">
        <v>500000</v>
      </c>
      <c r="Q109">
        <v>700000</v>
      </c>
      <c r="R109" t="s">
        <v>71</v>
      </c>
      <c r="S109" t="s">
        <v>491</v>
      </c>
      <c r="T109" s="12">
        <v>46253</v>
      </c>
      <c r="U109" t="s">
        <v>492</v>
      </c>
      <c r="V109">
        <f>IF(E109="","",IFERROR(VLOOKUP(E109,Scoring_Lookups!$A$5:$B$18,2,FALSE()),0))</f>
        <v>4</v>
      </c>
      <c r="W109">
        <f t="shared" si="24"/>
        <v>7</v>
      </c>
      <c r="X109">
        <f>IF(C109="","",IFERROR(VLOOKUP(C109,Scoring_Lookups!$D$5:$E$35,2,FALSE()),0))</f>
        <v>12</v>
      </c>
      <c r="Y109">
        <f>IF(G109="","",IFERROR(VLOOKUP(G109,Scoring_Lookups!$G$5:$H$16,2,FALSE()),0))</f>
        <v>6</v>
      </c>
      <c r="Z109">
        <f t="shared" ca="1" si="25"/>
        <v>8</v>
      </c>
      <c r="AA109">
        <f ca="1">IF(N109="Yes",0,IF(A109="",0,IF(COUNTIFS('04_Triggers'!B:B,A109,'04_Triggers'!D:D,"&gt;="&amp;(TODAY()-365))&gt;=2,20,IF(COUNTIFS('04_Triggers'!B:B,A109,'04_Triggers'!D:D,"&gt;="&amp;(TODAY()-365),'04_Triggers'!G:G,"High")&gt;=1,14,IF(COUNTIFS('04_Triggers'!B:B,A109,'04_Triggers'!D:D,"&gt;="&amp;(TODAY()-365))&gt;=1,7,IF(COUNTIFS('04_Triggers'!B:B,A109,'04_Triggers'!D:D,"&gt;="&amp;(TODAY()-1095),'04_Triggers'!D:D,"&lt;"&amp;(TODAY()-365))&gt;=1,7,0))))))</f>
        <v>0</v>
      </c>
      <c r="AB109">
        <f>IF(M109="","",IFERROR(VLOOKUP(M109,Scoring_Lookups!$J$5:$K$16,2,FALSE()),0))</f>
        <v>8</v>
      </c>
      <c r="AC109">
        <f>IF(O109="","",IFERROR(VLOOKUP(O109,Scoring_Lookups!$M$5:$N$8,2,FALSE()),0))</f>
        <v>4</v>
      </c>
      <c r="AD109">
        <f>IF(L109="","",IFERROR(VLOOKUP(L109,Scoring_Lookups!$P$5:$Q$9,2,FALSE()),0))</f>
        <v>8</v>
      </c>
      <c r="AE109">
        <f t="shared" si="26"/>
        <v>10</v>
      </c>
      <c r="AF109">
        <f t="shared" ca="1" si="27"/>
        <v>67</v>
      </c>
      <c r="AG109" t="str">
        <f t="shared" si="28"/>
        <v>OK</v>
      </c>
      <c r="AH109" t="s">
        <v>56</v>
      </c>
      <c r="AI109" t="str">
        <f t="shared" ca="1" si="29"/>
        <v>Priority 2</v>
      </c>
      <c r="AJ109" t="str">
        <f t="shared" ca="1" si="30"/>
        <v>P1 Payments=4 | P2 2000=7 | P3 Czech Republic=12 | P4 PI Licence=6 | P5 Listed with Growth Profile=8 | P6=0 | P7 In-house Legacy Processor=8 | P8 Cloud modern, Not API-first=4 | P9 Scheme Principal=8 | P10=10</v>
      </c>
      <c r="AL109" t="s">
        <v>61</v>
      </c>
      <c r="AM109" t="s">
        <v>56</v>
      </c>
      <c r="AO109" t="s">
        <v>92</v>
      </c>
      <c r="AP109" t="str">
        <f t="shared" si="31"/>
        <v>OK</v>
      </c>
      <c r="AQ109" t="s">
        <v>472</v>
      </c>
    </row>
    <row r="110" spans="1:43" ht="15" customHeight="1" x14ac:dyDescent="0.2">
      <c r="A110" t="s">
        <v>493</v>
      </c>
      <c r="B110" t="s">
        <v>494</v>
      </c>
      <c r="C110" t="s">
        <v>495</v>
      </c>
      <c r="D110" t="s">
        <v>48</v>
      </c>
      <c r="E110" t="s">
        <v>49</v>
      </c>
      <c r="F110">
        <v>60</v>
      </c>
      <c r="G110" t="s">
        <v>118</v>
      </c>
      <c r="H110" t="s">
        <v>51</v>
      </c>
      <c r="I110" t="s">
        <v>87</v>
      </c>
      <c r="K110" t="s">
        <v>184</v>
      </c>
      <c r="L110" t="s">
        <v>54</v>
      </c>
      <c r="M110" t="s">
        <v>55</v>
      </c>
      <c r="N110" t="s">
        <v>56</v>
      </c>
      <c r="O110" t="s">
        <v>57</v>
      </c>
      <c r="P110">
        <v>0</v>
      </c>
      <c r="Q110">
        <v>40000</v>
      </c>
      <c r="R110" t="s">
        <v>71</v>
      </c>
      <c r="S110" t="s">
        <v>496</v>
      </c>
      <c r="T110" s="12">
        <v>46253</v>
      </c>
      <c r="U110" t="s">
        <v>497</v>
      </c>
      <c r="V110">
        <f>IF(E110="","",IFERROR(VLOOKUP(E110,Scoring_Lookups!$A$5:$B$18,2,FALSE()),0))</f>
        <v>4</v>
      </c>
      <c r="W110">
        <f t="shared" si="24"/>
        <v>10</v>
      </c>
      <c r="X110">
        <f>IF(C110="","",IFERROR(VLOOKUP(C110,Scoring_Lookups!$D$5:$E$35,2,FALSE()),0))</f>
        <v>5</v>
      </c>
      <c r="Y110">
        <f>IF(G110="","",IFERROR(VLOOKUP(G110,Scoring_Lookups!$G$5:$H$16,2,FALSE()),0))</f>
        <v>3</v>
      </c>
      <c r="Z110">
        <f t="shared" ca="1" si="25"/>
        <v>6</v>
      </c>
      <c r="AA110">
        <f ca="1">IF(N110="Yes",0,IF(A110="",0,IF(COUNTIFS('04_Triggers'!B:B,A110,'04_Triggers'!D:D,"&gt;="&amp;(TODAY()-365))&gt;=2,20,IF(COUNTIFS('04_Triggers'!B:B,A110,'04_Triggers'!D:D,"&gt;="&amp;(TODAY()-365),'04_Triggers'!G:G,"High")&gt;=1,14,IF(COUNTIFS('04_Triggers'!B:B,A110,'04_Triggers'!D:D,"&gt;="&amp;(TODAY()-365))&gt;=1,7,IF(COUNTIFS('04_Triggers'!B:B,A110,'04_Triggers'!D:D,"&gt;="&amp;(TODAY()-1095),'04_Triggers'!D:D,"&lt;"&amp;(TODAY()-365))&gt;=1,7,0))))))</f>
        <v>7</v>
      </c>
      <c r="AB110">
        <f>IF(M110="","",IFERROR(VLOOKUP(M110,Scoring_Lookups!$J$5:$K$16,2,FALSE()),0))</f>
        <v>4</v>
      </c>
      <c r="AC110">
        <f>IF(O110="","",IFERROR(VLOOKUP(O110,Scoring_Lookups!$M$5:$N$8,2,FALSE()),0))</f>
        <v>6</v>
      </c>
      <c r="AD110">
        <f>IF(L110="","",IFERROR(VLOOKUP(L110,Scoring_Lookups!$P$5:$Q$9,2,FALSE()),0))</f>
        <v>3</v>
      </c>
      <c r="AE110">
        <f t="shared" si="26"/>
        <v>10</v>
      </c>
      <c r="AF110">
        <f t="shared" ca="1" si="27"/>
        <v>58</v>
      </c>
      <c r="AG110" t="str">
        <f t="shared" si="28"/>
        <v>OK</v>
      </c>
      <c r="AH110" t="s">
        <v>56</v>
      </c>
      <c r="AI110" t="str">
        <f t="shared" ca="1" si="29"/>
        <v>Priority 3</v>
      </c>
      <c r="AJ110" t="str">
        <f t="shared" ca="1" si="30"/>
        <v>P1 Payments=4 | P2 60=10 | P3 Italy=5 | P4 No Licence, BIN Sponsor Engaged=3 | P5 Series A=6 | P6=7 | P7 Planning to Launch (No Incumbent Yet)=4 | P8 Cloud-native (AWS/Azure/GCP), API-first, AI signals=6 | P9 No Sponsor, Licensing Suggests Imminent=3 | P10=10</v>
      </c>
      <c r="AL110" t="s">
        <v>61</v>
      </c>
      <c r="AM110" t="s">
        <v>56</v>
      </c>
      <c r="AO110" t="s">
        <v>300</v>
      </c>
      <c r="AP110" t="str">
        <f t="shared" si="31"/>
        <v>Watch</v>
      </c>
      <c r="AQ110" t="s">
        <v>472</v>
      </c>
    </row>
    <row r="111" spans="1:43" ht="15" customHeight="1" x14ac:dyDescent="0.2">
      <c r="A111" t="s">
        <v>498</v>
      </c>
      <c r="B111" t="s">
        <v>499</v>
      </c>
      <c r="C111" t="s">
        <v>359</v>
      </c>
      <c r="D111" t="s">
        <v>48</v>
      </c>
      <c r="E111" t="s">
        <v>49</v>
      </c>
      <c r="F111">
        <v>30</v>
      </c>
      <c r="G111" t="s">
        <v>118</v>
      </c>
      <c r="H111" t="s">
        <v>51</v>
      </c>
      <c r="I111" t="s">
        <v>87</v>
      </c>
      <c r="J111" s="12">
        <v>46054</v>
      </c>
      <c r="K111" t="s">
        <v>184</v>
      </c>
      <c r="L111" t="s">
        <v>54</v>
      </c>
      <c r="M111" t="s">
        <v>55</v>
      </c>
      <c r="N111" t="s">
        <v>56</v>
      </c>
      <c r="O111" t="s">
        <v>57</v>
      </c>
      <c r="P111">
        <v>0</v>
      </c>
      <c r="Q111">
        <v>25000</v>
      </c>
      <c r="R111" t="s">
        <v>56</v>
      </c>
      <c r="S111" t="s">
        <v>496</v>
      </c>
      <c r="T111" s="12">
        <v>46253</v>
      </c>
      <c r="U111" t="s">
        <v>500</v>
      </c>
      <c r="V111">
        <f>IF(E111="","",IFERROR(VLOOKUP(E111,Scoring_Lookups!$A$5:$B$18,2,FALSE()),0))</f>
        <v>4</v>
      </c>
      <c r="W111">
        <f t="shared" si="24"/>
        <v>7</v>
      </c>
      <c r="X111">
        <f>IF(C111="","",IFERROR(VLOOKUP(C111,Scoring_Lookups!$D$5:$E$35,2,FALSE()),0))</f>
        <v>5</v>
      </c>
      <c r="Y111">
        <f>IF(G111="","",IFERROR(VLOOKUP(G111,Scoring_Lookups!$G$5:$H$16,2,FALSE()),0))</f>
        <v>3</v>
      </c>
      <c r="Z111">
        <f t="shared" ca="1" si="25"/>
        <v>6</v>
      </c>
      <c r="AA111">
        <f ca="1">IF(N111="Yes",0,IF(A111="",0,IF(COUNTIFS('04_Triggers'!B:B,A111,'04_Triggers'!D:D,"&gt;="&amp;(TODAY()-365))&gt;=2,20,IF(COUNTIFS('04_Triggers'!B:B,A111,'04_Triggers'!D:D,"&gt;="&amp;(TODAY()-365),'04_Triggers'!G:G,"High")&gt;=1,14,IF(COUNTIFS('04_Triggers'!B:B,A111,'04_Triggers'!D:D,"&gt;="&amp;(TODAY()-365))&gt;=1,7,IF(COUNTIFS('04_Triggers'!B:B,A111,'04_Triggers'!D:D,"&gt;="&amp;(TODAY()-1095),'04_Triggers'!D:D,"&lt;"&amp;(TODAY()-365))&gt;=1,7,0))))))</f>
        <v>14</v>
      </c>
      <c r="AB111">
        <f>IF(M111="","",IFERROR(VLOOKUP(M111,Scoring_Lookups!$J$5:$K$16,2,FALSE()),0))</f>
        <v>4</v>
      </c>
      <c r="AC111">
        <f>IF(O111="","",IFERROR(VLOOKUP(O111,Scoring_Lookups!$M$5:$N$8,2,FALSE()),0))</f>
        <v>6</v>
      </c>
      <c r="AD111">
        <f>IF(L111="","",IFERROR(VLOOKUP(L111,Scoring_Lookups!$P$5:$Q$9,2,FALSE()),0))</f>
        <v>3</v>
      </c>
      <c r="AE111">
        <f t="shared" si="26"/>
        <v>4</v>
      </c>
      <c r="AF111">
        <f t="shared" ca="1" si="27"/>
        <v>56</v>
      </c>
      <c r="AG111" t="str">
        <f t="shared" si="28"/>
        <v>OK</v>
      </c>
      <c r="AH111" t="s">
        <v>56</v>
      </c>
      <c r="AI111" t="str">
        <f t="shared" ca="1" si="29"/>
        <v>Priority 3</v>
      </c>
      <c r="AJ111" t="str">
        <f t="shared" ca="1" si="30"/>
        <v>P1 Payments=4 | P2 30=7 | P3 Germany=5 | P4 No Licence, BIN Sponsor Engaged=3 | P5 Series A=6 | P6=14 | P7 Planning to Launch (No Incumbent Yet)=4 | P8 Cloud-native (AWS/Azure/GCP), API-first, AI signals=6 | P9 No Sponsor, Licensing Suggests Imminent=3 | P10=4</v>
      </c>
      <c r="AL111" t="s">
        <v>61</v>
      </c>
      <c r="AM111" t="s">
        <v>56</v>
      </c>
      <c r="AO111" t="s">
        <v>73</v>
      </c>
      <c r="AP111" t="str">
        <f t="shared" si="31"/>
        <v>OK</v>
      </c>
      <c r="AQ111" t="s">
        <v>472</v>
      </c>
    </row>
    <row r="112" spans="1:43" ht="15" customHeight="1" x14ac:dyDescent="0.2">
      <c r="A112" t="s">
        <v>501</v>
      </c>
      <c r="B112" t="s">
        <v>502</v>
      </c>
      <c r="C112" t="s">
        <v>391</v>
      </c>
      <c r="D112" t="s">
        <v>48</v>
      </c>
      <c r="E112" t="s">
        <v>49</v>
      </c>
      <c r="F112">
        <v>200</v>
      </c>
      <c r="G112" t="s">
        <v>50</v>
      </c>
      <c r="H112" t="s">
        <v>51</v>
      </c>
      <c r="I112" t="s">
        <v>368</v>
      </c>
      <c r="K112" t="s">
        <v>53</v>
      </c>
      <c r="L112" t="s">
        <v>114</v>
      </c>
      <c r="M112" t="s">
        <v>55</v>
      </c>
      <c r="N112" t="s">
        <v>56</v>
      </c>
      <c r="O112" t="s">
        <v>57</v>
      </c>
      <c r="P112">
        <v>0</v>
      </c>
      <c r="Q112">
        <v>80000</v>
      </c>
      <c r="R112" t="s">
        <v>71</v>
      </c>
      <c r="S112" t="s">
        <v>496</v>
      </c>
      <c r="T112" s="12">
        <v>46253</v>
      </c>
      <c r="U112" t="s">
        <v>503</v>
      </c>
      <c r="V112">
        <f>IF(E112="","",IFERROR(VLOOKUP(E112,Scoring_Lookups!$A$5:$B$18,2,FALSE()),0))</f>
        <v>4</v>
      </c>
      <c r="W112">
        <f t="shared" si="24"/>
        <v>10</v>
      </c>
      <c r="X112">
        <f>IF(C112="","",IFERROR(VLOOKUP(C112,Scoring_Lookups!$D$5:$E$35,2,FALSE()),0))</f>
        <v>5</v>
      </c>
      <c r="Y112">
        <f>IF(G112="","",IFERROR(VLOOKUP(G112,Scoring_Lookups!$G$5:$H$16,2,FALSE()),0))</f>
        <v>6</v>
      </c>
      <c r="Z112">
        <f t="shared" ca="1" si="25"/>
        <v>0</v>
      </c>
      <c r="AA112">
        <f ca="1">IF(N112="Yes",0,IF(A112="",0,IF(COUNTIFS('04_Triggers'!B:B,A112,'04_Triggers'!D:D,"&gt;="&amp;(TODAY()-365))&gt;=2,20,IF(COUNTIFS('04_Triggers'!B:B,A112,'04_Triggers'!D:D,"&gt;="&amp;(TODAY()-365),'04_Triggers'!G:G,"High")&gt;=1,14,IF(COUNTIFS('04_Triggers'!B:B,A112,'04_Triggers'!D:D,"&gt;="&amp;(TODAY()-365))&gt;=1,7,IF(COUNTIFS('04_Triggers'!B:B,A112,'04_Triggers'!D:D,"&gt;="&amp;(TODAY()-1095),'04_Triggers'!D:D,"&lt;"&amp;(TODAY()-365))&gt;=1,7,0))))))</f>
        <v>0</v>
      </c>
      <c r="AB112">
        <f>IF(M112="","",IFERROR(VLOOKUP(M112,Scoring_Lookups!$J$5:$K$16,2,FALSE()),0))</f>
        <v>4</v>
      </c>
      <c r="AC112">
        <f>IF(O112="","",IFERROR(VLOOKUP(O112,Scoring_Lookups!$M$5:$N$8,2,FALSE()),0))</f>
        <v>6</v>
      </c>
      <c r="AD112">
        <f>IF(L112="","",IFERROR(VLOOKUP(L112,Scoring_Lookups!$P$5:$Q$9,2,FALSE()),0))</f>
        <v>6</v>
      </c>
      <c r="AE112">
        <f t="shared" si="26"/>
        <v>10</v>
      </c>
      <c r="AF112">
        <f t="shared" ca="1" si="27"/>
        <v>51</v>
      </c>
      <c r="AG112" t="str">
        <f t="shared" si="28"/>
        <v>OK</v>
      </c>
      <c r="AH112" t="s">
        <v>56</v>
      </c>
      <c r="AI112" t="str">
        <f t="shared" ca="1" si="29"/>
        <v>Priority 3</v>
      </c>
      <c r="AJ112" t="str">
        <f t="shared" ca="1" si="30"/>
        <v>P1 Payments=4 | P2 200=10 | P3 Denmark=5 | P4 PI Licence=6 | P5 Series B=0 | P6=0 | P7 Planning to Launch (No Incumbent Yet)=4 | P8 Cloud-native (AWS/Azure/GCP), API-first, AI signals=6 | P9 Scheme Participation Visible=6 | P10=10</v>
      </c>
      <c r="AL112" t="s">
        <v>61</v>
      </c>
      <c r="AM112" t="s">
        <v>56</v>
      </c>
      <c r="AO112" t="s">
        <v>73</v>
      </c>
      <c r="AP112" t="str">
        <f t="shared" si="31"/>
        <v>OK</v>
      </c>
      <c r="AQ112" t="s">
        <v>472</v>
      </c>
    </row>
    <row r="113" spans="1:43" ht="15" customHeight="1" x14ac:dyDescent="0.2">
      <c r="A113" t="s">
        <v>504</v>
      </c>
      <c r="B113" t="s">
        <v>505</v>
      </c>
      <c r="C113" t="s">
        <v>426</v>
      </c>
      <c r="D113" t="s">
        <v>48</v>
      </c>
      <c r="E113" t="s">
        <v>49</v>
      </c>
      <c r="F113">
        <v>1800</v>
      </c>
      <c r="G113" t="s">
        <v>50</v>
      </c>
      <c r="H113" t="s">
        <v>96</v>
      </c>
      <c r="I113" t="s">
        <v>143</v>
      </c>
      <c r="J113" s="12">
        <v>45689</v>
      </c>
      <c r="K113" t="s">
        <v>53</v>
      </c>
      <c r="L113" t="s">
        <v>77</v>
      </c>
      <c r="M113" t="s">
        <v>89</v>
      </c>
      <c r="N113" t="s">
        <v>56</v>
      </c>
      <c r="O113" t="s">
        <v>70</v>
      </c>
      <c r="P113">
        <v>100000</v>
      </c>
      <c r="Q113">
        <v>300000</v>
      </c>
      <c r="R113" t="s">
        <v>71</v>
      </c>
      <c r="S113" t="s">
        <v>506</v>
      </c>
      <c r="T113" s="12">
        <v>46253</v>
      </c>
      <c r="U113" t="s">
        <v>507</v>
      </c>
      <c r="V113">
        <f>IF(E113="","",IFERROR(VLOOKUP(E113,Scoring_Lookups!$A$5:$B$18,2,FALSE()),0))</f>
        <v>4</v>
      </c>
      <c r="W113">
        <f t="shared" si="24"/>
        <v>7</v>
      </c>
      <c r="X113">
        <f>IF(C113="","",IFERROR(VLOOKUP(C113,Scoring_Lookups!$D$5:$E$35,2,FALSE()),0))</f>
        <v>5</v>
      </c>
      <c r="Y113">
        <f>IF(G113="","",IFERROR(VLOOKUP(G113,Scoring_Lookups!$G$5:$H$16,2,FALSE()),0))</f>
        <v>6</v>
      </c>
      <c r="Z113">
        <f t="shared" ca="1" si="25"/>
        <v>8</v>
      </c>
      <c r="AA113">
        <f ca="1">IF(N113="Yes",0,IF(A113="",0,IF(COUNTIFS('04_Triggers'!B:B,A113,'04_Triggers'!D:D,"&gt;="&amp;(TODAY()-365))&gt;=2,20,IF(COUNTIFS('04_Triggers'!B:B,A113,'04_Triggers'!D:D,"&gt;="&amp;(TODAY()-365),'04_Triggers'!G:G,"High")&gt;=1,14,IF(COUNTIFS('04_Triggers'!B:B,A113,'04_Triggers'!D:D,"&gt;="&amp;(TODAY()-365))&gt;=1,7,IF(COUNTIFS('04_Triggers'!B:B,A113,'04_Triggers'!D:D,"&gt;="&amp;(TODAY()-1095),'04_Triggers'!D:D,"&lt;"&amp;(TODAY()-365))&gt;=1,7,0))))))</f>
        <v>7</v>
      </c>
      <c r="AB113">
        <f>IF(M113="","",IFERROR(VLOOKUP(M113,Scoring_Lookups!$J$5:$K$16,2,FALSE()),0))</f>
        <v>3</v>
      </c>
      <c r="AC113">
        <f>IF(O113="","",IFERROR(VLOOKUP(O113,Scoring_Lookups!$M$5:$N$8,2,FALSE()),0))</f>
        <v>4</v>
      </c>
      <c r="AD113">
        <f>IF(L113="","",IFERROR(VLOOKUP(L113,Scoring_Lookups!$P$5:$Q$9,2,FALSE()),0))</f>
        <v>8</v>
      </c>
      <c r="AE113">
        <f t="shared" si="26"/>
        <v>10</v>
      </c>
      <c r="AF113">
        <f t="shared" ca="1" si="27"/>
        <v>62</v>
      </c>
      <c r="AG113" t="str">
        <f t="shared" si="28"/>
        <v>OK</v>
      </c>
      <c r="AH113" t="s">
        <v>56</v>
      </c>
      <c r="AI113" t="str">
        <f t="shared" ca="1" si="29"/>
        <v>Priority 2</v>
      </c>
      <c r="AJ113" t="str">
        <f t="shared" ca="1" si="30"/>
        <v>P1 Payments=4 | P2 1800=7 | P3 Sweden=5 | P4 PI Licence=6 | P5 PE-controlled Growth Mandate=8 | P6=7 | P7 Incumbent Unknown=3 | P8 Cloud modern, Not API-first=4 | P9 Existing BIN Sponsor Relationship=8 | P10=10</v>
      </c>
      <c r="AL113" t="s">
        <v>61</v>
      </c>
      <c r="AM113" t="s">
        <v>56</v>
      </c>
      <c r="AO113" t="s">
        <v>92</v>
      </c>
      <c r="AP113" t="str">
        <f t="shared" si="31"/>
        <v>OK</v>
      </c>
      <c r="AQ113" t="s">
        <v>472</v>
      </c>
    </row>
    <row r="114" spans="1:43" ht="15" customHeight="1" x14ac:dyDescent="0.2">
      <c r="A114" t="s">
        <v>508</v>
      </c>
      <c r="B114" t="s">
        <v>509</v>
      </c>
      <c r="C114" t="s">
        <v>510</v>
      </c>
      <c r="D114" t="s">
        <v>48</v>
      </c>
      <c r="E114" t="s">
        <v>49</v>
      </c>
      <c r="F114">
        <v>35</v>
      </c>
      <c r="G114" t="s">
        <v>118</v>
      </c>
      <c r="H114" t="s">
        <v>51</v>
      </c>
      <c r="I114" t="s">
        <v>87</v>
      </c>
      <c r="K114" t="s">
        <v>53</v>
      </c>
      <c r="L114" t="s">
        <v>77</v>
      </c>
      <c r="M114" t="s">
        <v>89</v>
      </c>
      <c r="N114" t="s">
        <v>56</v>
      </c>
      <c r="O114" t="s">
        <v>70</v>
      </c>
      <c r="P114">
        <v>20000</v>
      </c>
      <c r="Q114">
        <v>50000</v>
      </c>
      <c r="R114" t="s">
        <v>71</v>
      </c>
      <c r="S114" t="s">
        <v>511</v>
      </c>
      <c r="T114" s="12">
        <v>46253</v>
      </c>
      <c r="U114" t="s">
        <v>512</v>
      </c>
      <c r="V114">
        <f>IF(E114="","",IFERROR(VLOOKUP(E114,Scoring_Lookups!$A$5:$B$18,2,FALSE()),0))</f>
        <v>4</v>
      </c>
      <c r="W114">
        <f t="shared" si="24"/>
        <v>7</v>
      </c>
      <c r="X114">
        <f>IF(C114="","",IFERROR(VLOOKUP(C114,Scoring_Lookups!$D$5:$E$35,2,FALSE()),0))</f>
        <v>8</v>
      </c>
      <c r="Y114">
        <f>IF(G114="","",IFERROR(VLOOKUP(G114,Scoring_Lookups!$G$5:$H$16,2,FALSE()),0))</f>
        <v>3</v>
      </c>
      <c r="Z114">
        <f t="shared" ca="1" si="25"/>
        <v>6</v>
      </c>
      <c r="AA114">
        <f ca="1">IF(N114="Yes",0,IF(A114="",0,IF(COUNTIFS('04_Triggers'!B:B,A114,'04_Triggers'!D:D,"&gt;="&amp;(TODAY()-365))&gt;=2,20,IF(COUNTIFS('04_Triggers'!B:B,A114,'04_Triggers'!D:D,"&gt;="&amp;(TODAY()-365),'04_Triggers'!G:G,"High")&gt;=1,14,IF(COUNTIFS('04_Triggers'!B:B,A114,'04_Triggers'!D:D,"&gt;="&amp;(TODAY()-365))&gt;=1,7,IF(COUNTIFS('04_Triggers'!B:B,A114,'04_Triggers'!D:D,"&gt;="&amp;(TODAY()-1095),'04_Triggers'!D:D,"&lt;"&amp;(TODAY()-365))&gt;=1,7,0))))))</f>
        <v>0</v>
      </c>
      <c r="AB114">
        <f>IF(M114="","",IFERROR(VLOOKUP(M114,Scoring_Lookups!$J$5:$K$16,2,FALSE()),0))</f>
        <v>3</v>
      </c>
      <c r="AC114">
        <f>IF(O114="","",IFERROR(VLOOKUP(O114,Scoring_Lookups!$M$5:$N$8,2,FALSE()),0))</f>
        <v>4</v>
      </c>
      <c r="AD114">
        <f>IF(L114="","",IFERROR(VLOOKUP(L114,Scoring_Lookups!$P$5:$Q$9,2,FALSE()),0))</f>
        <v>8</v>
      </c>
      <c r="AE114">
        <f t="shared" si="26"/>
        <v>10</v>
      </c>
      <c r="AF114">
        <f t="shared" ca="1" si="27"/>
        <v>53</v>
      </c>
      <c r="AG114" t="str">
        <f t="shared" si="28"/>
        <v>OK</v>
      </c>
      <c r="AH114" t="s">
        <v>56</v>
      </c>
      <c r="AI114" t="str">
        <f t="shared" ca="1" si="29"/>
        <v>Priority 3</v>
      </c>
      <c r="AJ114" t="str">
        <f t="shared" ca="1" si="30"/>
        <v>P1 Payments=4 | P2 35=7 | P3 Belgium=8 | P4 No Licence, BIN Sponsor Engaged=3 | P5 Series A=6 | P6=0 | P7 Incumbent Unknown=3 | P8 Cloud modern, Not API-first=4 | P9 Existing BIN Sponsor Relationship=8 | P10=10</v>
      </c>
      <c r="AL114" t="s">
        <v>61</v>
      </c>
      <c r="AM114" t="s">
        <v>56</v>
      </c>
      <c r="AO114" t="s">
        <v>92</v>
      </c>
      <c r="AP114" t="str">
        <f t="shared" si="31"/>
        <v>OK</v>
      </c>
      <c r="AQ114" t="s">
        <v>472</v>
      </c>
    </row>
    <row r="115" spans="1:43" ht="15" customHeight="1" x14ac:dyDescent="0.2">
      <c r="A115" t="s">
        <v>513</v>
      </c>
      <c r="B115" t="s">
        <v>514</v>
      </c>
      <c r="C115" t="s">
        <v>515</v>
      </c>
      <c r="D115" t="s">
        <v>48</v>
      </c>
      <c r="E115" t="s">
        <v>49</v>
      </c>
      <c r="F115">
        <v>100</v>
      </c>
      <c r="G115" t="s">
        <v>118</v>
      </c>
      <c r="H115" t="s">
        <v>96</v>
      </c>
      <c r="I115" t="s">
        <v>97</v>
      </c>
      <c r="J115" s="12">
        <v>45748</v>
      </c>
      <c r="K115" t="s">
        <v>184</v>
      </c>
      <c r="L115" t="s">
        <v>54</v>
      </c>
      <c r="M115" t="s">
        <v>55</v>
      </c>
      <c r="N115" t="s">
        <v>56</v>
      </c>
      <c r="O115" t="s">
        <v>57</v>
      </c>
      <c r="P115">
        <v>0</v>
      </c>
      <c r="Q115">
        <v>30000</v>
      </c>
      <c r="R115" t="s">
        <v>71</v>
      </c>
      <c r="S115" t="s">
        <v>516</v>
      </c>
      <c r="T115" s="12">
        <v>46253</v>
      </c>
      <c r="U115" t="s">
        <v>517</v>
      </c>
      <c r="V115">
        <f>IF(E115="","",IFERROR(VLOOKUP(E115,Scoring_Lookups!$A$5:$B$18,2,FALSE()),0))</f>
        <v>4</v>
      </c>
      <c r="W115">
        <f t="shared" si="24"/>
        <v>10</v>
      </c>
      <c r="X115">
        <f>IF(C115="","",IFERROR(VLOOKUP(C115,Scoring_Lookups!$D$5:$E$35,2,FALSE()),0))</f>
        <v>5</v>
      </c>
      <c r="Y115">
        <f>IF(G115="","",IFERROR(VLOOKUP(G115,Scoring_Lookups!$G$5:$H$16,2,FALSE()),0))</f>
        <v>3</v>
      </c>
      <c r="Z115">
        <f t="shared" ca="1" si="25"/>
        <v>6</v>
      </c>
      <c r="AA115">
        <f ca="1">IF(N115="Yes",0,IF(A115="",0,IF(COUNTIFS('04_Triggers'!B:B,A115,'04_Triggers'!D:D,"&gt;="&amp;(TODAY()-365))&gt;=2,20,IF(COUNTIFS('04_Triggers'!B:B,A115,'04_Triggers'!D:D,"&gt;="&amp;(TODAY()-365),'04_Triggers'!G:G,"High")&gt;=1,14,IF(COUNTIFS('04_Triggers'!B:B,A115,'04_Triggers'!D:D,"&gt;="&amp;(TODAY()-365))&gt;=1,7,IF(COUNTIFS('04_Triggers'!B:B,A115,'04_Triggers'!D:D,"&gt;="&amp;(TODAY()-1095),'04_Triggers'!D:D,"&lt;"&amp;(TODAY()-365))&gt;=1,7,0))))))</f>
        <v>7</v>
      </c>
      <c r="AB115">
        <f>IF(M115="","",IFERROR(VLOOKUP(M115,Scoring_Lookups!$J$5:$K$16,2,FALSE()),0))</f>
        <v>4</v>
      </c>
      <c r="AC115">
        <f>IF(O115="","",IFERROR(VLOOKUP(O115,Scoring_Lookups!$M$5:$N$8,2,FALSE()),0))</f>
        <v>6</v>
      </c>
      <c r="AD115">
        <f>IF(L115="","",IFERROR(VLOOKUP(L115,Scoring_Lookups!$P$5:$Q$9,2,FALSE()),0))</f>
        <v>3</v>
      </c>
      <c r="AE115">
        <f t="shared" si="26"/>
        <v>10</v>
      </c>
      <c r="AF115">
        <f t="shared" ca="1" si="27"/>
        <v>58</v>
      </c>
      <c r="AG115" t="str">
        <f t="shared" si="28"/>
        <v>OK</v>
      </c>
      <c r="AH115" t="s">
        <v>56</v>
      </c>
      <c r="AI115" t="str">
        <f t="shared" ca="1" si="29"/>
        <v>Priority 3</v>
      </c>
      <c r="AJ115" t="str">
        <f t="shared" ca="1" si="30"/>
        <v>P1 Payments=4 | P2 100=10 | P3 Lithuania=5 | P4 No Licence, BIN Sponsor Engaged=3 | P5 PE-controlled Stable=6 | P6=7 | P7 Planning to Launch (No Incumbent Yet)=4 | P8 Cloud-native (AWS/Azure/GCP), API-first, AI signals=6 | P9 No Sponsor, Licensing Suggests Imminent=3 | P10=10</v>
      </c>
      <c r="AL115" t="s">
        <v>61</v>
      </c>
      <c r="AM115" t="s">
        <v>56</v>
      </c>
      <c r="AO115" t="s">
        <v>100</v>
      </c>
      <c r="AP115" t="str">
        <f t="shared" si="31"/>
        <v>OK</v>
      </c>
      <c r="AQ115" t="s">
        <v>472</v>
      </c>
    </row>
    <row r="116" spans="1:43" ht="15" customHeight="1" x14ac:dyDescent="0.2">
      <c r="A116" t="s">
        <v>518</v>
      </c>
      <c r="B116" t="s">
        <v>519</v>
      </c>
      <c r="C116" t="s">
        <v>386</v>
      </c>
      <c r="D116" t="s">
        <v>48</v>
      </c>
      <c r="E116" t="s">
        <v>49</v>
      </c>
      <c r="F116">
        <v>60</v>
      </c>
      <c r="G116" t="s">
        <v>118</v>
      </c>
      <c r="H116" t="s">
        <v>51</v>
      </c>
      <c r="I116" t="s">
        <v>194</v>
      </c>
      <c r="K116" t="s">
        <v>184</v>
      </c>
      <c r="L116" t="s">
        <v>54</v>
      </c>
      <c r="M116" t="s">
        <v>186</v>
      </c>
      <c r="N116" t="s">
        <v>56</v>
      </c>
      <c r="O116" t="s">
        <v>70</v>
      </c>
      <c r="P116">
        <v>0</v>
      </c>
      <c r="Q116">
        <v>20000</v>
      </c>
      <c r="R116" t="s">
        <v>58</v>
      </c>
      <c r="S116" t="s">
        <v>520</v>
      </c>
      <c r="T116" s="12">
        <v>46253</v>
      </c>
      <c r="U116" t="s">
        <v>521</v>
      </c>
      <c r="V116">
        <f>IF(E116="","",IFERROR(VLOOKUP(E116,Scoring_Lookups!$A$5:$B$18,2,FALSE()),0))</f>
        <v>4</v>
      </c>
      <c r="W116">
        <f t="shared" si="24"/>
        <v>10</v>
      </c>
      <c r="X116">
        <f>IF(C116="","",IFERROR(VLOOKUP(C116,Scoring_Lookups!$D$5:$E$35,2,FALSE()),0))</f>
        <v>5</v>
      </c>
      <c r="Y116">
        <f>IF(G116="","",IFERROR(VLOOKUP(G116,Scoring_Lookups!$G$5:$H$16,2,FALSE()),0))</f>
        <v>3</v>
      </c>
      <c r="Z116">
        <f t="shared" ca="1" si="25"/>
        <v>3</v>
      </c>
      <c r="AA116">
        <f ca="1">IF(N116="Yes",0,IF(A116="",0,IF(COUNTIFS('04_Triggers'!B:B,A116,'04_Triggers'!D:D,"&gt;="&amp;(TODAY()-365))&gt;=2,20,IF(COUNTIFS('04_Triggers'!B:B,A116,'04_Triggers'!D:D,"&gt;="&amp;(TODAY()-365),'04_Triggers'!G:G,"High")&gt;=1,14,IF(COUNTIFS('04_Triggers'!B:B,A116,'04_Triggers'!D:D,"&gt;="&amp;(TODAY()-365))&gt;=1,7,IF(COUNTIFS('04_Triggers'!B:B,A116,'04_Triggers'!D:D,"&gt;="&amp;(TODAY()-1095),'04_Triggers'!D:D,"&lt;"&amp;(TODAY()-365))&gt;=1,7,0))))))</f>
        <v>0</v>
      </c>
      <c r="AB116">
        <f>IF(M116="","",IFERROR(VLOOKUP(M116,Scoring_Lookups!$J$5:$K$16,2,FALSE()),0))</f>
        <v>0</v>
      </c>
      <c r="AC116">
        <f>IF(O116="","",IFERROR(VLOOKUP(O116,Scoring_Lookups!$M$5:$N$8,2,FALSE()),0))</f>
        <v>4</v>
      </c>
      <c r="AD116">
        <f>IF(L116="","",IFERROR(VLOOKUP(L116,Scoring_Lookups!$P$5:$Q$9,2,FALSE()),0))</f>
        <v>3</v>
      </c>
      <c r="AE116">
        <f t="shared" si="26"/>
        <v>4</v>
      </c>
      <c r="AF116">
        <f t="shared" ca="1" si="27"/>
        <v>36</v>
      </c>
      <c r="AG116" t="str">
        <f t="shared" si="28"/>
        <v>OK</v>
      </c>
      <c r="AH116" t="s">
        <v>56</v>
      </c>
      <c r="AI116" t="str">
        <f t="shared" ca="1" si="29"/>
        <v>Disqualified</v>
      </c>
      <c r="AJ116" t="str">
        <f t="shared" ca="1" si="30"/>
        <v>P1 Payments=4 | P2 60=10 | P3 Finland=5 | P4 No Licence, BIN Sponsor Engaged=3 | P5 Bootstrapped=3 | P6=0 | P7 No Card Program, No Plan=0 | P8 Cloud modern, Not API-first=4 | P9 No Sponsor, Licensing Suggests Imminent=3 | P10=4</v>
      </c>
      <c r="AL116" t="s">
        <v>61</v>
      </c>
      <c r="AM116" t="s">
        <v>56</v>
      </c>
      <c r="AO116" t="s">
        <v>188</v>
      </c>
      <c r="AP116" t="str">
        <f t="shared" si="31"/>
        <v>Watch</v>
      </c>
      <c r="AQ116" t="s">
        <v>472</v>
      </c>
    </row>
    <row r="117" spans="1:43" ht="15" customHeight="1" x14ac:dyDescent="0.2">
      <c r="A117" t="s">
        <v>522</v>
      </c>
      <c r="B117" t="s">
        <v>523</v>
      </c>
      <c r="C117" t="s">
        <v>510</v>
      </c>
      <c r="D117" t="s">
        <v>48</v>
      </c>
      <c r="E117" t="s">
        <v>49</v>
      </c>
      <c r="F117">
        <v>90</v>
      </c>
      <c r="G117" t="s">
        <v>175</v>
      </c>
      <c r="H117" t="s">
        <v>96</v>
      </c>
      <c r="I117" t="s">
        <v>97</v>
      </c>
      <c r="J117" s="12">
        <v>45992</v>
      </c>
      <c r="K117" t="s">
        <v>482</v>
      </c>
      <c r="L117" t="s">
        <v>77</v>
      </c>
      <c r="M117" t="s">
        <v>392</v>
      </c>
      <c r="N117" t="s">
        <v>56</v>
      </c>
      <c r="O117" t="s">
        <v>70</v>
      </c>
      <c r="P117">
        <v>150000</v>
      </c>
      <c r="Q117">
        <v>250000</v>
      </c>
      <c r="R117" t="s">
        <v>71</v>
      </c>
      <c r="S117" t="s">
        <v>524</v>
      </c>
      <c r="T117" s="12">
        <v>46253</v>
      </c>
      <c r="U117" t="s">
        <v>525</v>
      </c>
      <c r="V117">
        <f>IF(E117="","",IFERROR(VLOOKUP(E117,Scoring_Lookups!$A$5:$B$18,2,FALSE()),0))</f>
        <v>4</v>
      </c>
      <c r="W117">
        <f t="shared" si="24"/>
        <v>10</v>
      </c>
      <c r="X117">
        <f>IF(C117="","",IFERROR(VLOOKUP(C117,Scoring_Lookups!$D$5:$E$35,2,FALSE()),0))</f>
        <v>8</v>
      </c>
      <c r="Y117">
        <f>IF(G117="","",IFERROR(VLOOKUP(G117,Scoring_Lookups!$G$5:$H$16,2,FALSE()),0))</f>
        <v>8</v>
      </c>
      <c r="Z117">
        <f t="shared" ca="1" si="25"/>
        <v>6</v>
      </c>
      <c r="AA117">
        <f ca="1">IF(N117="Yes",0,IF(A117="",0,IF(COUNTIFS('04_Triggers'!B:B,A117,'04_Triggers'!D:D,"&gt;="&amp;(TODAY()-365))&gt;=2,20,IF(COUNTIFS('04_Triggers'!B:B,A117,'04_Triggers'!D:D,"&gt;="&amp;(TODAY()-365),'04_Triggers'!G:G,"High")&gt;=1,14,IF(COUNTIFS('04_Triggers'!B:B,A117,'04_Triggers'!D:D,"&gt;="&amp;(TODAY()-365))&gt;=1,7,IF(COUNTIFS('04_Triggers'!B:B,A117,'04_Triggers'!D:D,"&gt;="&amp;(TODAY()-1095),'04_Triggers'!D:D,"&lt;"&amp;(TODAY()-365))&gt;=1,7,0))))))</f>
        <v>14</v>
      </c>
      <c r="AB117">
        <f>IF(M117="","",IFERROR(VLOOKUP(M117,Scoring_Lookups!$J$5:$K$16,2,FALSE()),0))</f>
        <v>8</v>
      </c>
      <c r="AC117">
        <f>IF(O117="","",IFERROR(VLOOKUP(O117,Scoring_Lookups!$M$5:$N$8,2,FALSE()),0))</f>
        <v>4</v>
      </c>
      <c r="AD117">
        <f>IF(L117="","",IFERROR(VLOOKUP(L117,Scoring_Lookups!$P$5:$Q$9,2,FALSE()),0))</f>
        <v>8</v>
      </c>
      <c r="AE117">
        <f t="shared" si="26"/>
        <v>10</v>
      </c>
      <c r="AF117">
        <f t="shared" ca="1" si="27"/>
        <v>80</v>
      </c>
      <c r="AG117" t="str">
        <f t="shared" si="28"/>
        <v>OK</v>
      </c>
      <c r="AH117" t="s">
        <v>56</v>
      </c>
      <c r="AI117" t="str">
        <f t="shared" ca="1" si="29"/>
        <v>Priority 1</v>
      </c>
      <c r="AJ117" t="str">
        <f t="shared" ca="1" si="30"/>
        <v>P1 Payments=4 | P2 90=10 | P3 Belgium=8 | P4 EMI Licence=8 | P5 PE-controlled Stable=6 | P6=14 | P7 Enfuce=8 | P8 Cloud modern, Not API-first=4 | P9 Existing BIN Sponsor Relationship=8 | P10=10</v>
      </c>
      <c r="AL117" t="s">
        <v>61</v>
      </c>
      <c r="AM117" t="s">
        <v>56</v>
      </c>
      <c r="AO117" t="s">
        <v>92</v>
      </c>
      <c r="AP117" t="str">
        <f t="shared" si="31"/>
        <v>OK</v>
      </c>
      <c r="AQ117" t="s">
        <v>63</v>
      </c>
    </row>
    <row r="118" spans="1:43" ht="15" customHeight="1" x14ac:dyDescent="0.2">
      <c r="A118" t="s">
        <v>526</v>
      </c>
      <c r="B118" t="s">
        <v>527</v>
      </c>
      <c r="C118" t="s">
        <v>402</v>
      </c>
      <c r="D118" t="s">
        <v>48</v>
      </c>
      <c r="E118" t="s">
        <v>49</v>
      </c>
      <c r="F118">
        <v>90</v>
      </c>
      <c r="G118" t="s">
        <v>67</v>
      </c>
      <c r="H118" t="s">
        <v>96</v>
      </c>
      <c r="I118" t="s">
        <v>97</v>
      </c>
      <c r="K118" t="s">
        <v>528</v>
      </c>
      <c r="L118" t="s">
        <v>77</v>
      </c>
      <c r="M118" t="s">
        <v>130</v>
      </c>
      <c r="N118" t="s">
        <v>56</v>
      </c>
      <c r="O118" t="s">
        <v>70</v>
      </c>
      <c r="P118">
        <v>80000</v>
      </c>
      <c r="Q118">
        <v>150000</v>
      </c>
      <c r="R118" t="s">
        <v>71</v>
      </c>
      <c r="S118" t="s">
        <v>524</v>
      </c>
      <c r="T118" s="12">
        <v>46253</v>
      </c>
      <c r="U118" t="s">
        <v>529</v>
      </c>
      <c r="V118">
        <f>IF(E118="","",IFERROR(VLOOKUP(E118,Scoring_Lookups!$A$5:$B$18,2,FALSE()),0))</f>
        <v>4</v>
      </c>
      <c r="W118">
        <f t="shared" si="24"/>
        <v>10</v>
      </c>
      <c r="X118">
        <f>IF(C118="","",IFERROR(VLOOKUP(C118,Scoring_Lookups!$D$5:$E$35,2,FALSE()),0))</f>
        <v>5</v>
      </c>
      <c r="Y118">
        <f>IF(G118="","",IFERROR(VLOOKUP(G118,Scoring_Lookups!$G$5:$H$16,2,FALSE()),0))</f>
        <v>6</v>
      </c>
      <c r="Z118">
        <f t="shared" ca="1" si="25"/>
        <v>6</v>
      </c>
      <c r="AA118">
        <f ca="1">IF(N118="Yes",0,IF(A118="",0,IF(COUNTIFS('04_Triggers'!B:B,A118,'04_Triggers'!D:D,"&gt;="&amp;(TODAY()-365))&gt;=2,20,IF(COUNTIFS('04_Triggers'!B:B,A118,'04_Triggers'!D:D,"&gt;="&amp;(TODAY()-365),'04_Triggers'!G:G,"High")&gt;=1,14,IF(COUNTIFS('04_Triggers'!B:B,A118,'04_Triggers'!D:D,"&gt;="&amp;(TODAY()-365))&gt;=1,7,IF(COUNTIFS('04_Triggers'!B:B,A118,'04_Triggers'!D:D,"&gt;="&amp;(TODAY()-1095),'04_Triggers'!D:D,"&lt;"&amp;(TODAY()-365))&gt;=1,7,0))))))</f>
        <v>0</v>
      </c>
      <c r="AB118">
        <f>IF(M118="","",IFERROR(VLOOKUP(M118,Scoring_Lookups!$J$5:$K$16,2,FALSE()),0))</f>
        <v>8</v>
      </c>
      <c r="AC118">
        <f>IF(O118="","",IFERROR(VLOOKUP(O118,Scoring_Lookups!$M$5:$N$8,2,FALSE()),0))</f>
        <v>4</v>
      </c>
      <c r="AD118">
        <f>IF(L118="","",IFERROR(VLOOKUP(L118,Scoring_Lookups!$P$5:$Q$9,2,FALSE()),0))</f>
        <v>8</v>
      </c>
      <c r="AE118">
        <f t="shared" si="26"/>
        <v>10</v>
      </c>
      <c r="AF118">
        <f t="shared" ca="1" si="27"/>
        <v>61</v>
      </c>
      <c r="AG118" t="str">
        <f t="shared" si="28"/>
        <v>OK</v>
      </c>
      <c r="AH118" t="s">
        <v>56</v>
      </c>
      <c r="AI118" t="str">
        <f t="shared" ca="1" si="29"/>
        <v>Priority 2</v>
      </c>
      <c r="AJ118" t="str">
        <f t="shared" ca="1" si="30"/>
        <v>P1 Payments=4 | P2 90=10 | P3 France=5 | P4 BIN Sponsor Agreement In Place=6 | P5 PE-controlled Stable=6 | P6=0 | P7 In-house Legacy Processor=8 | P8 Cloud modern, Not API-first=4 | P9 Existing BIN Sponsor Relationship=8 | P10=10</v>
      </c>
      <c r="AL118" t="s">
        <v>61</v>
      </c>
      <c r="AM118" t="s">
        <v>56</v>
      </c>
      <c r="AO118" t="s">
        <v>92</v>
      </c>
      <c r="AP118" t="str">
        <f t="shared" si="31"/>
        <v>OK</v>
      </c>
      <c r="AQ118" t="s">
        <v>63</v>
      </c>
    </row>
    <row r="119" spans="1:43" ht="15" customHeight="1" x14ac:dyDescent="0.2">
      <c r="A119" t="s">
        <v>530</v>
      </c>
      <c r="B119" t="s">
        <v>531</v>
      </c>
      <c r="C119" t="s">
        <v>359</v>
      </c>
      <c r="D119" t="s">
        <v>48</v>
      </c>
      <c r="E119" t="s">
        <v>49</v>
      </c>
      <c r="F119">
        <v>35</v>
      </c>
      <c r="G119" t="s">
        <v>67</v>
      </c>
      <c r="H119" t="s">
        <v>51</v>
      </c>
      <c r="I119" t="s">
        <v>87</v>
      </c>
      <c r="K119" t="s">
        <v>53</v>
      </c>
      <c r="L119" t="s">
        <v>77</v>
      </c>
      <c r="M119" t="s">
        <v>89</v>
      </c>
      <c r="N119" t="s">
        <v>56</v>
      </c>
      <c r="O119" t="s">
        <v>57</v>
      </c>
      <c r="P119">
        <v>30000</v>
      </c>
      <c r="Q119">
        <v>80000</v>
      </c>
      <c r="R119" t="s">
        <v>71</v>
      </c>
      <c r="S119" t="s">
        <v>524</v>
      </c>
      <c r="T119" s="12">
        <v>46253</v>
      </c>
      <c r="U119" t="s">
        <v>532</v>
      </c>
      <c r="V119">
        <f>IF(E119="","",IFERROR(VLOOKUP(E119,Scoring_Lookups!$A$5:$B$18,2,FALSE()),0))</f>
        <v>4</v>
      </c>
      <c r="W119">
        <f t="shared" si="24"/>
        <v>7</v>
      </c>
      <c r="X119">
        <f>IF(C119="","",IFERROR(VLOOKUP(C119,Scoring_Lookups!$D$5:$E$35,2,FALSE()),0))</f>
        <v>5</v>
      </c>
      <c r="Y119">
        <f>IF(G119="","",IFERROR(VLOOKUP(G119,Scoring_Lookups!$G$5:$H$16,2,FALSE()),0))</f>
        <v>6</v>
      </c>
      <c r="Z119">
        <f t="shared" ca="1" si="25"/>
        <v>6</v>
      </c>
      <c r="AA119">
        <f ca="1">IF(N119="Yes",0,IF(A119="",0,IF(COUNTIFS('04_Triggers'!B:B,A119,'04_Triggers'!D:D,"&gt;="&amp;(TODAY()-365))&gt;=2,20,IF(COUNTIFS('04_Triggers'!B:B,A119,'04_Triggers'!D:D,"&gt;="&amp;(TODAY()-365),'04_Triggers'!G:G,"High")&gt;=1,14,IF(COUNTIFS('04_Triggers'!B:B,A119,'04_Triggers'!D:D,"&gt;="&amp;(TODAY()-365))&gt;=1,7,IF(COUNTIFS('04_Triggers'!B:B,A119,'04_Triggers'!D:D,"&gt;="&amp;(TODAY()-1095),'04_Triggers'!D:D,"&lt;"&amp;(TODAY()-365))&gt;=1,7,0))))))</f>
        <v>7</v>
      </c>
      <c r="AB119">
        <f>IF(M119="","",IFERROR(VLOOKUP(M119,Scoring_Lookups!$J$5:$K$16,2,FALSE()),0))</f>
        <v>3</v>
      </c>
      <c r="AC119">
        <f>IF(O119="","",IFERROR(VLOOKUP(O119,Scoring_Lookups!$M$5:$N$8,2,FALSE()),0))</f>
        <v>6</v>
      </c>
      <c r="AD119">
        <f>IF(L119="","",IFERROR(VLOOKUP(L119,Scoring_Lookups!$P$5:$Q$9,2,FALSE()),0))</f>
        <v>8</v>
      </c>
      <c r="AE119">
        <f t="shared" si="26"/>
        <v>10</v>
      </c>
      <c r="AF119">
        <f t="shared" ca="1" si="27"/>
        <v>62</v>
      </c>
      <c r="AG119" t="str">
        <f t="shared" si="28"/>
        <v>OK</v>
      </c>
      <c r="AH119" t="s">
        <v>56</v>
      </c>
      <c r="AI119" t="str">
        <f t="shared" ca="1" si="29"/>
        <v>Priority 2</v>
      </c>
      <c r="AJ119" t="str">
        <f t="shared" ca="1" si="30"/>
        <v>P1 Payments=4 | P2 35=7 | P3 Germany=5 | P4 BIN Sponsor Agreement In Place=6 | P5 Series A=6 | P6=7 | P7 Incumbent Unknown=3 | P8 Cloud-native (AWS/Azure/GCP), API-first, AI signals=6 | P9 Existing BIN Sponsor Relationship=8 | P10=10</v>
      </c>
      <c r="AL119" t="s">
        <v>61</v>
      </c>
      <c r="AM119" t="s">
        <v>56</v>
      </c>
      <c r="AO119" t="s">
        <v>92</v>
      </c>
      <c r="AP119" t="str">
        <f t="shared" si="31"/>
        <v>OK</v>
      </c>
      <c r="AQ119" t="s">
        <v>63</v>
      </c>
    </row>
    <row r="120" spans="1:43" ht="15" customHeight="1" x14ac:dyDescent="0.2">
      <c r="A120" t="s">
        <v>533</v>
      </c>
      <c r="B120" t="s">
        <v>534</v>
      </c>
      <c r="C120" t="s">
        <v>510</v>
      </c>
      <c r="D120" t="s">
        <v>48</v>
      </c>
      <c r="E120" t="s">
        <v>49</v>
      </c>
      <c r="F120">
        <v>25</v>
      </c>
      <c r="G120" t="s">
        <v>67</v>
      </c>
      <c r="H120" t="s">
        <v>51</v>
      </c>
      <c r="I120" t="s">
        <v>52</v>
      </c>
      <c r="K120" t="s">
        <v>53</v>
      </c>
      <c r="L120" t="s">
        <v>77</v>
      </c>
      <c r="M120" t="s">
        <v>89</v>
      </c>
      <c r="N120" t="s">
        <v>56</v>
      </c>
      <c r="O120" t="s">
        <v>57</v>
      </c>
      <c r="P120">
        <v>20000</v>
      </c>
      <c r="Q120">
        <v>60000</v>
      </c>
      <c r="R120" t="s">
        <v>71</v>
      </c>
      <c r="S120" t="s">
        <v>524</v>
      </c>
      <c r="T120" s="12">
        <v>46253</v>
      </c>
      <c r="U120" t="s">
        <v>535</v>
      </c>
      <c r="V120">
        <f>IF(E120="","",IFERROR(VLOOKUP(E120,Scoring_Lookups!$A$5:$B$18,2,FALSE()),0))</f>
        <v>4</v>
      </c>
      <c r="W120">
        <f t="shared" si="24"/>
        <v>7</v>
      </c>
      <c r="X120">
        <f>IF(C120="","",IFERROR(VLOOKUP(C120,Scoring_Lookups!$D$5:$E$35,2,FALSE()),0))</f>
        <v>8</v>
      </c>
      <c r="Y120">
        <f>IF(G120="","",IFERROR(VLOOKUP(G120,Scoring_Lookups!$G$5:$H$16,2,FALSE()),0))</f>
        <v>6</v>
      </c>
      <c r="Z120">
        <f t="shared" ca="1" si="25"/>
        <v>3</v>
      </c>
      <c r="AA120">
        <f ca="1">IF(N120="Yes",0,IF(A120="",0,IF(COUNTIFS('04_Triggers'!B:B,A120,'04_Triggers'!D:D,"&gt;="&amp;(TODAY()-365))&gt;=2,20,IF(COUNTIFS('04_Triggers'!B:B,A120,'04_Triggers'!D:D,"&gt;="&amp;(TODAY()-365),'04_Triggers'!G:G,"High")&gt;=1,14,IF(COUNTIFS('04_Triggers'!B:B,A120,'04_Triggers'!D:D,"&gt;="&amp;(TODAY()-365))&gt;=1,7,IF(COUNTIFS('04_Triggers'!B:B,A120,'04_Triggers'!D:D,"&gt;="&amp;(TODAY()-1095),'04_Triggers'!D:D,"&lt;"&amp;(TODAY()-365))&gt;=1,7,0))))))</f>
        <v>0</v>
      </c>
      <c r="AB120">
        <f>IF(M120="","",IFERROR(VLOOKUP(M120,Scoring_Lookups!$J$5:$K$16,2,FALSE()),0))</f>
        <v>3</v>
      </c>
      <c r="AC120">
        <f>IF(O120="","",IFERROR(VLOOKUP(O120,Scoring_Lookups!$M$5:$N$8,2,FALSE()),0))</f>
        <v>6</v>
      </c>
      <c r="AD120">
        <f>IF(L120="","",IFERROR(VLOOKUP(L120,Scoring_Lookups!$P$5:$Q$9,2,FALSE()),0))</f>
        <v>8</v>
      </c>
      <c r="AE120">
        <f t="shared" si="26"/>
        <v>10</v>
      </c>
      <c r="AF120">
        <f t="shared" ca="1" si="27"/>
        <v>55</v>
      </c>
      <c r="AG120" t="str">
        <f t="shared" si="28"/>
        <v>OK</v>
      </c>
      <c r="AH120" t="s">
        <v>56</v>
      </c>
      <c r="AI120" t="str">
        <f t="shared" ca="1" si="29"/>
        <v>Priority 3</v>
      </c>
      <c r="AJ120" t="str">
        <f t="shared" ca="1" si="30"/>
        <v>P1 Payments=4 | P2 25=7 | P3 Belgium=8 | P4 BIN Sponsor Agreement In Place=6 | P5 Seed=3 | P6=0 | P7 Incumbent Unknown=3 | P8 Cloud-native (AWS/Azure/GCP), API-first, AI signals=6 | P9 Existing BIN Sponsor Relationship=8 | P10=10</v>
      </c>
      <c r="AL120" t="s">
        <v>61</v>
      </c>
      <c r="AM120" t="s">
        <v>56</v>
      </c>
      <c r="AO120" t="s">
        <v>92</v>
      </c>
      <c r="AP120" t="str">
        <f t="shared" si="31"/>
        <v>OK</v>
      </c>
      <c r="AQ120" t="s">
        <v>63</v>
      </c>
    </row>
    <row r="121" spans="1:43" ht="15" customHeight="1" x14ac:dyDescent="0.2">
      <c r="A121" t="s">
        <v>536</v>
      </c>
      <c r="B121" t="s">
        <v>537</v>
      </c>
      <c r="C121" t="s">
        <v>364</v>
      </c>
      <c r="D121" t="s">
        <v>48</v>
      </c>
      <c r="E121" t="s">
        <v>538</v>
      </c>
      <c r="F121">
        <v>325</v>
      </c>
      <c r="G121" t="s">
        <v>175</v>
      </c>
      <c r="H121" t="s">
        <v>51</v>
      </c>
      <c r="I121" t="s">
        <v>247</v>
      </c>
      <c r="J121" s="12">
        <v>45778</v>
      </c>
      <c r="K121" t="s">
        <v>539</v>
      </c>
      <c r="L121" t="s">
        <v>77</v>
      </c>
      <c r="M121" t="s">
        <v>159</v>
      </c>
      <c r="N121" t="s">
        <v>56</v>
      </c>
      <c r="O121" t="s">
        <v>57</v>
      </c>
      <c r="P121">
        <v>500000</v>
      </c>
      <c r="Q121">
        <v>1500000</v>
      </c>
      <c r="R121" t="s">
        <v>71</v>
      </c>
      <c r="S121" t="s">
        <v>540</v>
      </c>
      <c r="T121" s="12">
        <v>46253</v>
      </c>
      <c r="U121" t="s">
        <v>541</v>
      </c>
      <c r="V121">
        <f>IF(E121="","",IFERROR(VLOOKUP(E121,Scoring_Lookups!$A$5:$B$18,2,FALSE()),0))</f>
        <v>4</v>
      </c>
      <c r="W121">
        <f t="shared" si="24"/>
        <v>10</v>
      </c>
      <c r="X121">
        <f>IF(C121="","",IFERROR(VLOOKUP(C121,Scoring_Lookups!$D$5:$E$35,2,FALSE()),0))</f>
        <v>8</v>
      </c>
      <c r="Y121">
        <f>IF(G121="","",IFERROR(VLOOKUP(G121,Scoring_Lookups!$G$5:$H$16,2,FALSE()),0))</f>
        <v>8</v>
      </c>
      <c r="Z121">
        <f t="shared" ca="1" si="25"/>
        <v>8</v>
      </c>
      <c r="AA121">
        <f ca="1">IF(N121="Yes",0,IF(A121="",0,IF(COUNTIFS('04_Triggers'!B:B,A121,'04_Triggers'!D:D,"&gt;="&amp;(TODAY()-365))&gt;=2,20,IF(COUNTIFS('04_Triggers'!B:B,A121,'04_Triggers'!D:D,"&gt;="&amp;(TODAY()-365),'04_Triggers'!G:G,"High")&gt;=1,14,IF(COUNTIFS('04_Triggers'!B:B,A121,'04_Triggers'!D:D,"&gt;="&amp;(TODAY()-365))&gt;=1,7,IF(COUNTIFS('04_Triggers'!B:B,A121,'04_Triggers'!D:D,"&gt;="&amp;(TODAY()-1095),'04_Triggers'!D:D,"&lt;"&amp;(TODAY()-365))&gt;=1,7,0))))))</f>
        <v>7</v>
      </c>
      <c r="AB121">
        <f>IF(M121="","",IFERROR(VLOOKUP(M121,Scoring_Lookups!$J$5:$K$16,2,FALSE()),0))</f>
        <v>6</v>
      </c>
      <c r="AC121">
        <f>IF(O121="","",IFERROR(VLOOKUP(O121,Scoring_Lookups!$M$5:$N$8,2,FALSE()),0))</f>
        <v>6</v>
      </c>
      <c r="AD121">
        <f>IF(L121="","",IFERROR(VLOOKUP(L121,Scoring_Lookups!$P$5:$Q$9,2,FALSE()),0))</f>
        <v>8</v>
      </c>
      <c r="AE121">
        <f t="shared" si="26"/>
        <v>10</v>
      </c>
      <c r="AF121">
        <f t="shared" ca="1" si="27"/>
        <v>75</v>
      </c>
      <c r="AG121" t="str">
        <f t="shared" si="28"/>
        <v>OK</v>
      </c>
      <c r="AH121" t="s">
        <v>56</v>
      </c>
      <c r="AI121" t="str">
        <f t="shared" ca="1" si="29"/>
        <v>Priority 2</v>
      </c>
      <c r="AJ121" t="str">
        <f t="shared" ca="1" si="30"/>
        <v>P1 Disbursement=4 | P2 325=10 | P3 United Kingdom=8 | P4 EMI Licence=8 | P5 Series D+=8 | P6=7 | P7 Smaller/Less-known Processor=6 | P8 Cloud-native (AWS/Azure/GCP), API-first, AI signals=6 | P9 Existing BIN Sponsor Relationship=8 | P10=10</v>
      </c>
      <c r="AL121" t="s">
        <v>61</v>
      </c>
      <c r="AM121" t="s">
        <v>56</v>
      </c>
      <c r="AO121" t="s">
        <v>92</v>
      </c>
      <c r="AP121" t="str">
        <f t="shared" si="31"/>
        <v>OK</v>
      </c>
      <c r="AQ121" t="s">
        <v>107</v>
      </c>
    </row>
    <row r="122" spans="1:43" ht="15" customHeight="1" x14ac:dyDescent="0.2">
      <c r="A122" t="s">
        <v>542</v>
      </c>
      <c r="B122" t="s">
        <v>543</v>
      </c>
      <c r="C122" t="s">
        <v>364</v>
      </c>
      <c r="D122" t="s">
        <v>48</v>
      </c>
      <c r="E122" t="s">
        <v>538</v>
      </c>
      <c r="F122">
        <v>55</v>
      </c>
      <c r="G122" t="s">
        <v>175</v>
      </c>
      <c r="H122" t="s">
        <v>51</v>
      </c>
      <c r="I122" t="s">
        <v>368</v>
      </c>
      <c r="K122" t="s">
        <v>53</v>
      </c>
      <c r="L122" t="s">
        <v>77</v>
      </c>
      <c r="M122" t="s">
        <v>89</v>
      </c>
      <c r="N122" t="s">
        <v>56</v>
      </c>
      <c r="O122" t="s">
        <v>70</v>
      </c>
      <c r="P122">
        <v>100000</v>
      </c>
      <c r="Q122">
        <v>200000</v>
      </c>
      <c r="R122" t="s">
        <v>71</v>
      </c>
      <c r="S122" t="s">
        <v>540</v>
      </c>
      <c r="T122" s="12">
        <v>46253</v>
      </c>
      <c r="U122" t="s">
        <v>544</v>
      </c>
      <c r="V122">
        <f>IF(E122="","",IFERROR(VLOOKUP(E122,Scoring_Lookups!$A$5:$B$18,2,FALSE()),0))</f>
        <v>4</v>
      </c>
      <c r="W122">
        <f t="shared" si="24"/>
        <v>10</v>
      </c>
      <c r="X122">
        <f>IF(C122="","",IFERROR(VLOOKUP(C122,Scoring_Lookups!$D$5:$E$35,2,FALSE()),0))</f>
        <v>8</v>
      </c>
      <c r="Y122">
        <f>IF(G122="","",IFERROR(VLOOKUP(G122,Scoring_Lookups!$G$5:$H$16,2,FALSE()),0))</f>
        <v>8</v>
      </c>
      <c r="Z122">
        <f t="shared" ca="1" si="25"/>
        <v>0</v>
      </c>
      <c r="AA122">
        <f ca="1">IF(N122="Yes",0,IF(A122="",0,IF(COUNTIFS('04_Triggers'!B:B,A122,'04_Triggers'!D:D,"&gt;="&amp;(TODAY()-365))&gt;=2,20,IF(COUNTIFS('04_Triggers'!B:B,A122,'04_Triggers'!D:D,"&gt;="&amp;(TODAY()-365),'04_Triggers'!G:G,"High")&gt;=1,14,IF(COUNTIFS('04_Triggers'!B:B,A122,'04_Triggers'!D:D,"&gt;="&amp;(TODAY()-365))&gt;=1,7,IF(COUNTIFS('04_Triggers'!B:B,A122,'04_Triggers'!D:D,"&gt;="&amp;(TODAY()-1095),'04_Triggers'!D:D,"&lt;"&amp;(TODAY()-365))&gt;=1,7,0))))))</f>
        <v>0</v>
      </c>
      <c r="AB122">
        <f>IF(M122="","",IFERROR(VLOOKUP(M122,Scoring_Lookups!$J$5:$K$16,2,FALSE()),0))</f>
        <v>3</v>
      </c>
      <c r="AC122">
        <f>IF(O122="","",IFERROR(VLOOKUP(O122,Scoring_Lookups!$M$5:$N$8,2,FALSE()),0))</f>
        <v>4</v>
      </c>
      <c r="AD122">
        <f>IF(L122="","",IFERROR(VLOOKUP(L122,Scoring_Lookups!$P$5:$Q$9,2,FALSE()),0))</f>
        <v>8</v>
      </c>
      <c r="AE122">
        <f t="shared" si="26"/>
        <v>10</v>
      </c>
      <c r="AF122">
        <f t="shared" ca="1" si="27"/>
        <v>55</v>
      </c>
      <c r="AG122" t="str">
        <f t="shared" si="28"/>
        <v>OK</v>
      </c>
      <c r="AH122" t="s">
        <v>56</v>
      </c>
      <c r="AI122" t="str">
        <f t="shared" ca="1" si="29"/>
        <v>Priority 3</v>
      </c>
      <c r="AJ122" t="str">
        <f t="shared" ca="1" si="30"/>
        <v>P1 Disbursement=4 | P2 55=10 | P3 United Kingdom=8 | P4 EMI Licence=8 | P5 Series B=0 | P6=0 | P7 Incumbent Unknown=3 | P8 Cloud modern, Not API-first=4 | P9 Existing BIN Sponsor Relationship=8 | P10=10</v>
      </c>
      <c r="AL122" t="s">
        <v>61</v>
      </c>
      <c r="AM122" t="s">
        <v>56</v>
      </c>
      <c r="AO122" t="s">
        <v>92</v>
      </c>
      <c r="AP122" t="str">
        <f t="shared" si="31"/>
        <v>OK</v>
      </c>
      <c r="AQ122" t="s">
        <v>107</v>
      </c>
    </row>
    <row r="123" spans="1:43" ht="15" customHeight="1" x14ac:dyDescent="0.2">
      <c r="A123" t="s">
        <v>545</v>
      </c>
      <c r="B123" t="s">
        <v>546</v>
      </c>
      <c r="C123" t="s">
        <v>364</v>
      </c>
      <c r="D123" t="s">
        <v>48</v>
      </c>
      <c r="E123" t="s">
        <v>538</v>
      </c>
      <c r="F123">
        <v>15</v>
      </c>
      <c r="G123" t="s">
        <v>118</v>
      </c>
      <c r="H123" t="s">
        <v>51</v>
      </c>
      <c r="I123" t="s">
        <v>52</v>
      </c>
      <c r="K123" t="s">
        <v>184</v>
      </c>
      <c r="L123" t="s">
        <v>54</v>
      </c>
      <c r="M123" t="s">
        <v>55</v>
      </c>
      <c r="N123" t="s">
        <v>56</v>
      </c>
      <c r="O123" t="s">
        <v>57</v>
      </c>
      <c r="P123">
        <v>0</v>
      </c>
      <c r="Q123">
        <v>30000</v>
      </c>
      <c r="R123" t="s">
        <v>58</v>
      </c>
      <c r="S123" t="s">
        <v>540</v>
      </c>
      <c r="T123" s="12">
        <v>46253</v>
      </c>
      <c r="U123" t="s">
        <v>547</v>
      </c>
      <c r="V123">
        <f>IF(E123="","",IFERROR(VLOOKUP(E123,Scoring_Lookups!$A$5:$B$18,2,FALSE()),0))</f>
        <v>4</v>
      </c>
      <c r="W123">
        <f t="shared" si="24"/>
        <v>4</v>
      </c>
      <c r="X123">
        <f>IF(C123="","",IFERROR(VLOOKUP(C123,Scoring_Lookups!$D$5:$E$35,2,FALSE()),0))</f>
        <v>8</v>
      </c>
      <c r="Y123">
        <f>IF(G123="","",IFERROR(VLOOKUP(G123,Scoring_Lookups!$G$5:$H$16,2,FALSE()),0))</f>
        <v>3</v>
      </c>
      <c r="Z123">
        <f t="shared" ca="1" si="25"/>
        <v>3</v>
      </c>
      <c r="AA123">
        <f ca="1">IF(N123="Yes",0,IF(A123="",0,IF(COUNTIFS('04_Triggers'!B:B,A123,'04_Triggers'!D:D,"&gt;="&amp;(TODAY()-365))&gt;=2,20,IF(COUNTIFS('04_Triggers'!B:B,A123,'04_Triggers'!D:D,"&gt;="&amp;(TODAY()-365),'04_Triggers'!G:G,"High")&gt;=1,14,IF(COUNTIFS('04_Triggers'!B:B,A123,'04_Triggers'!D:D,"&gt;="&amp;(TODAY()-365))&gt;=1,7,IF(COUNTIFS('04_Triggers'!B:B,A123,'04_Triggers'!D:D,"&gt;="&amp;(TODAY()-1095),'04_Triggers'!D:D,"&lt;"&amp;(TODAY()-365))&gt;=1,7,0))))))</f>
        <v>0</v>
      </c>
      <c r="AB123">
        <f>IF(M123="","",IFERROR(VLOOKUP(M123,Scoring_Lookups!$J$5:$K$16,2,FALSE()),0))</f>
        <v>4</v>
      </c>
      <c r="AC123">
        <f>IF(O123="","",IFERROR(VLOOKUP(O123,Scoring_Lookups!$M$5:$N$8,2,FALSE()),0))</f>
        <v>6</v>
      </c>
      <c r="AD123">
        <f>IF(L123="","",IFERROR(VLOOKUP(L123,Scoring_Lookups!$P$5:$Q$9,2,FALSE()),0))</f>
        <v>3</v>
      </c>
      <c r="AE123">
        <f t="shared" si="26"/>
        <v>4</v>
      </c>
      <c r="AF123">
        <f t="shared" ca="1" si="27"/>
        <v>39</v>
      </c>
      <c r="AG123" t="str">
        <f t="shared" si="28"/>
        <v>OK</v>
      </c>
      <c r="AH123" t="s">
        <v>56</v>
      </c>
      <c r="AI123" t="str">
        <f t="shared" ca="1" si="29"/>
        <v>Disqualified</v>
      </c>
      <c r="AJ123" t="str">
        <f t="shared" ca="1" si="30"/>
        <v>P1 Disbursement=4 | P2 15=4 | P3 United Kingdom=8 | P4 No Licence, BIN Sponsor Engaged=3 | P5 Seed=3 | P6=0 | P7 Planning to Launch (No Incumbent Yet)=4 | P8 Cloud-native (AWS/Azure/GCP), API-first, AI signals=6 | P9 No Sponsor, Licensing Suggests Imminent=3 | P10=4</v>
      </c>
      <c r="AL123" t="s">
        <v>61</v>
      </c>
      <c r="AM123" t="s">
        <v>56</v>
      </c>
      <c r="AO123" t="s">
        <v>100</v>
      </c>
      <c r="AP123" t="str">
        <f t="shared" si="31"/>
        <v>OK</v>
      </c>
      <c r="AQ123" t="s">
        <v>107</v>
      </c>
    </row>
    <row r="124" spans="1:43" ht="15" customHeight="1" x14ac:dyDescent="0.2">
      <c r="A124" t="s">
        <v>548</v>
      </c>
      <c r="B124" t="s">
        <v>549</v>
      </c>
      <c r="C124" t="s">
        <v>364</v>
      </c>
      <c r="D124" t="s">
        <v>48</v>
      </c>
      <c r="E124" t="s">
        <v>538</v>
      </c>
      <c r="F124">
        <v>114</v>
      </c>
      <c r="G124" t="s">
        <v>175</v>
      </c>
      <c r="H124" t="s">
        <v>96</v>
      </c>
      <c r="I124" t="s">
        <v>97</v>
      </c>
      <c r="K124" t="s">
        <v>550</v>
      </c>
      <c r="L124" t="s">
        <v>114</v>
      </c>
      <c r="M124" t="s">
        <v>130</v>
      </c>
      <c r="N124" t="s">
        <v>56</v>
      </c>
      <c r="O124" t="s">
        <v>70</v>
      </c>
      <c r="P124">
        <v>300000</v>
      </c>
      <c r="Q124">
        <v>500000</v>
      </c>
      <c r="R124" t="s">
        <v>71</v>
      </c>
      <c r="S124" t="s">
        <v>551</v>
      </c>
      <c r="T124" s="12">
        <v>46253</v>
      </c>
      <c r="U124" t="s">
        <v>552</v>
      </c>
      <c r="V124">
        <f>IF(E124="","",IFERROR(VLOOKUP(E124,Scoring_Lookups!$A$5:$B$18,2,FALSE()),0))</f>
        <v>4</v>
      </c>
      <c r="W124">
        <f t="shared" si="24"/>
        <v>10</v>
      </c>
      <c r="X124">
        <f>IF(C124="","",IFERROR(VLOOKUP(C124,Scoring_Lookups!$D$5:$E$35,2,FALSE()),0))</f>
        <v>8</v>
      </c>
      <c r="Y124">
        <f>IF(G124="","",IFERROR(VLOOKUP(G124,Scoring_Lookups!$G$5:$H$16,2,FALSE()),0))</f>
        <v>8</v>
      </c>
      <c r="Z124">
        <f t="shared" ca="1" si="25"/>
        <v>6</v>
      </c>
      <c r="AA124">
        <f ca="1">IF(N124="Yes",0,IF(A124="",0,IF(COUNTIFS('04_Triggers'!B:B,A124,'04_Triggers'!D:D,"&gt;="&amp;(TODAY()-365))&gt;=2,20,IF(COUNTIFS('04_Triggers'!B:B,A124,'04_Triggers'!D:D,"&gt;="&amp;(TODAY()-365),'04_Triggers'!G:G,"High")&gt;=1,14,IF(COUNTIFS('04_Triggers'!B:B,A124,'04_Triggers'!D:D,"&gt;="&amp;(TODAY()-365))&gt;=1,7,IF(COUNTIFS('04_Triggers'!B:B,A124,'04_Triggers'!D:D,"&gt;="&amp;(TODAY()-1095),'04_Triggers'!D:D,"&lt;"&amp;(TODAY()-365))&gt;=1,7,0))))))</f>
        <v>0</v>
      </c>
      <c r="AB124">
        <f>IF(M124="","",IFERROR(VLOOKUP(M124,Scoring_Lookups!$J$5:$K$16,2,FALSE()),0))</f>
        <v>8</v>
      </c>
      <c r="AC124">
        <f>IF(O124="","",IFERROR(VLOOKUP(O124,Scoring_Lookups!$M$5:$N$8,2,FALSE()),0))</f>
        <v>4</v>
      </c>
      <c r="AD124">
        <f>IF(L124="","",IFERROR(VLOOKUP(L124,Scoring_Lookups!$P$5:$Q$9,2,FALSE()),0))</f>
        <v>6</v>
      </c>
      <c r="AE124">
        <f t="shared" si="26"/>
        <v>10</v>
      </c>
      <c r="AF124">
        <f t="shared" ca="1" si="27"/>
        <v>64</v>
      </c>
      <c r="AG124" t="str">
        <f t="shared" si="28"/>
        <v>OK</v>
      </c>
      <c r="AH124" t="s">
        <v>56</v>
      </c>
      <c r="AI124" t="str">
        <f t="shared" ca="1" si="29"/>
        <v>Priority 2</v>
      </c>
      <c r="AJ124" t="str">
        <f t="shared" ca="1" si="30"/>
        <v>P1 Disbursement=4 | P2 114=10 | P3 United Kingdom=8 | P4 EMI Licence=8 | P5 PE-controlled Stable=6 | P6=0 | P7 In-house Legacy Processor=8 | P8 Cloud modern, Not API-first=4 | P9 Scheme Participation Visible=6 | P10=10</v>
      </c>
      <c r="AL124" t="s">
        <v>61</v>
      </c>
      <c r="AM124" t="s">
        <v>56</v>
      </c>
      <c r="AO124" t="s">
        <v>92</v>
      </c>
      <c r="AP124" t="str">
        <f t="shared" si="31"/>
        <v>OK</v>
      </c>
      <c r="AQ124" t="s">
        <v>107</v>
      </c>
    </row>
    <row r="125" spans="1:43" ht="15" customHeight="1" x14ac:dyDescent="0.2">
      <c r="A125" t="s">
        <v>553</v>
      </c>
      <c r="B125" t="s">
        <v>554</v>
      </c>
      <c r="C125" t="s">
        <v>402</v>
      </c>
      <c r="D125" t="s">
        <v>48</v>
      </c>
      <c r="E125" t="s">
        <v>538</v>
      </c>
      <c r="F125">
        <v>20</v>
      </c>
      <c r="G125" t="s">
        <v>67</v>
      </c>
      <c r="H125" t="s">
        <v>51</v>
      </c>
      <c r="I125" t="s">
        <v>52</v>
      </c>
      <c r="K125" t="s">
        <v>482</v>
      </c>
      <c r="L125" t="s">
        <v>77</v>
      </c>
      <c r="M125" t="s">
        <v>392</v>
      </c>
      <c r="N125" t="s">
        <v>56</v>
      </c>
      <c r="O125" t="s">
        <v>70</v>
      </c>
      <c r="P125">
        <v>20000</v>
      </c>
      <c r="Q125">
        <v>60000</v>
      </c>
      <c r="R125" t="s">
        <v>56</v>
      </c>
      <c r="S125" t="s">
        <v>555</v>
      </c>
      <c r="T125" s="12">
        <v>46253</v>
      </c>
      <c r="U125" t="s">
        <v>556</v>
      </c>
      <c r="V125">
        <f>IF(E125="","",IFERROR(VLOOKUP(E125,Scoring_Lookups!$A$5:$B$18,2,FALSE()),0))</f>
        <v>4</v>
      </c>
      <c r="W125">
        <f t="shared" si="24"/>
        <v>7</v>
      </c>
      <c r="X125">
        <f>IF(C125="","",IFERROR(VLOOKUP(C125,Scoring_Lookups!$D$5:$E$35,2,FALSE()),0))</f>
        <v>5</v>
      </c>
      <c r="Y125">
        <f>IF(G125="","",IFERROR(VLOOKUP(G125,Scoring_Lookups!$G$5:$H$16,2,FALSE()),0))</f>
        <v>6</v>
      </c>
      <c r="Z125">
        <f t="shared" ca="1" si="25"/>
        <v>3</v>
      </c>
      <c r="AA125">
        <f ca="1">IF(N125="Yes",0,IF(A125="",0,IF(COUNTIFS('04_Triggers'!B:B,A125,'04_Triggers'!D:D,"&gt;="&amp;(TODAY()-365))&gt;=2,20,IF(COUNTIFS('04_Triggers'!B:B,A125,'04_Triggers'!D:D,"&gt;="&amp;(TODAY()-365),'04_Triggers'!G:G,"High")&gt;=1,14,IF(COUNTIFS('04_Triggers'!B:B,A125,'04_Triggers'!D:D,"&gt;="&amp;(TODAY()-365))&gt;=1,7,IF(COUNTIFS('04_Triggers'!B:B,A125,'04_Triggers'!D:D,"&gt;="&amp;(TODAY()-1095),'04_Triggers'!D:D,"&lt;"&amp;(TODAY()-365))&gt;=1,7,0))))))</f>
        <v>0</v>
      </c>
      <c r="AB125">
        <f>IF(M125="","",IFERROR(VLOOKUP(M125,Scoring_Lookups!$J$5:$K$16,2,FALSE()),0))</f>
        <v>8</v>
      </c>
      <c r="AC125">
        <f>IF(O125="","",IFERROR(VLOOKUP(O125,Scoring_Lookups!$M$5:$N$8,2,FALSE()),0))</f>
        <v>4</v>
      </c>
      <c r="AD125">
        <f>IF(L125="","",IFERROR(VLOOKUP(L125,Scoring_Lookups!$P$5:$Q$9,2,FALSE()),0))</f>
        <v>8</v>
      </c>
      <c r="AE125">
        <f t="shared" si="26"/>
        <v>4</v>
      </c>
      <c r="AF125">
        <f t="shared" ca="1" si="27"/>
        <v>49</v>
      </c>
      <c r="AG125" t="str">
        <f t="shared" si="28"/>
        <v>OK</v>
      </c>
      <c r="AH125" t="s">
        <v>56</v>
      </c>
      <c r="AI125" t="str">
        <f t="shared" ca="1" si="29"/>
        <v>Priority 3</v>
      </c>
      <c r="AJ125" t="str">
        <f t="shared" ca="1" si="30"/>
        <v>P1 Disbursement=4 | P2 20=7 | P3 France=5 | P4 BIN Sponsor Agreement In Place=6 | P5 Seed=3 | P6=0 | P7 Enfuce=8 | P8 Cloud modern, Not API-first=4 | P9 Existing BIN Sponsor Relationship=8 | P10=4</v>
      </c>
      <c r="AL125" t="s">
        <v>61</v>
      </c>
      <c r="AM125" t="s">
        <v>56</v>
      </c>
      <c r="AO125" t="s">
        <v>92</v>
      </c>
      <c r="AP125" t="str">
        <f t="shared" si="31"/>
        <v>OK</v>
      </c>
      <c r="AQ125" t="s">
        <v>107</v>
      </c>
    </row>
    <row r="126" spans="1:43" ht="15" customHeight="1" x14ac:dyDescent="0.2">
      <c r="A126" t="s">
        <v>557</v>
      </c>
      <c r="B126" t="s">
        <v>558</v>
      </c>
      <c r="C126" t="s">
        <v>381</v>
      </c>
      <c r="D126" t="s">
        <v>48</v>
      </c>
      <c r="E126" t="s">
        <v>538</v>
      </c>
      <c r="F126">
        <v>55</v>
      </c>
      <c r="G126" t="s">
        <v>67</v>
      </c>
      <c r="H126" t="s">
        <v>51</v>
      </c>
      <c r="I126" t="s">
        <v>87</v>
      </c>
      <c r="K126" t="s">
        <v>53</v>
      </c>
      <c r="L126" t="s">
        <v>77</v>
      </c>
      <c r="M126" t="s">
        <v>89</v>
      </c>
      <c r="N126" t="s">
        <v>56</v>
      </c>
      <c r="O126" t="s">
        <v>57</v>
      </c>
      <c r="P126">
        <v>30000</v>
      </c>
      <c r="Q126">
        <v>100000</v>
      </c>
      <c r="R126" t="s">
        <v>71</v>
      </c>
      <c r="S126" t="s">
        <v>559</v>
      </c>
      <c r="T126" s="12">
        <v>46253</v>
      </c>
      <c r="U126" t="s">
        <v>560</v>
      </c>
      <c r="V126">
        <f>IF(E126="","",IFERROR(VLOOKUP(E126,Scoring_Lookups!$A$5:$B$18,2,FALSE()),0))</f>
        <v>4</v>
      </c>
      <c r="W126">
        <f t="shared" si="24"/>
        <v>10</v>
      </c>
      <c r="X126">
        <f>IF(C126="","",IFERROR(VLOOKUP(C126,Scoring_Lookups!$D$5:$E$35,2,FALSE()),0))</f>
        <v>5</v>
      </c>
      <c r="Y126">
        <f>IF(G126="","",IFERROR(VLOOKUP(G126,Scoring_Lookups!$G$5:$H$16,2,FALSE()),0))</f>
        <v>6</v>
      </c>
      <c r="Z126">
        <f t="shared" ca="1" si="25"/>
        <v>6</v>
      </c>
      <c r="AA126">
        <f ca="1">IF(N126="Yes",0,IF(A126="",0,IF(COUNTIFS('04_Triggers'!B:B,A126,'04_Triggers'!D:D,"&gt;="&amp;(TODAY()-365))&gt;=2,20,IF(COUNTIFS('04_Triggers'!B:B,A126,'04_Triggers'!D:D,"&gt;="&amp;(TODAY()-365),'04_Triggers'!G:G,"High")&gt;=1,14,IF(COUNTIFS('04_Triggers'!B:B,A126,'04_Triggers'!D:D,"&gt;="&amp;(TODAY()-365))&gt;=1,7,IF(COUNTIFS('04_Triggers'!B:B,A126,'04_Triggers'!D:D,"&gt;="&amp;(TODAY()-1095),'04_Triggers'!D:D,"&lt;"&amp;(TODAY()-365))&gt;=1,7,0))))))</f>
        <v>14</v>
      </c>
      <c r="AB126">
        <f>IF(M126="","",IFERROR(VLOOKUP(M126,Scoring_Lookups!$J$5:$K$16,2,FALSE()),0))</f>
        <v>3</v>
      </c>
      <c r="AC126">
        <f>IF(O126="","",IFERROR(VLOOKUP(O126,Scoring_Lookups!$M$5:$N$8,2,FALSE()),0))</f>
        <v>6</v>
      </c>
      <c r="AD126">
        <f>IF(L126="","",IFERROR(VLOOKUP(L126,Scoring_Lookups!$P$5:$Q$9,2,FALSE()),0))</f>
        <v>8</v>
      </c>
      <c r="AE126">
        <f t="shared" si="26"/>
        <v>10</v>
      </c>
      <c r="AF126">
        <f t="shared" ca="1" si="27"/>
        <v>72</v>
      </c>
      <c r="AG126" t="str">
        <f t="shared" si="28"/>
        <v>OK</v>
      </c>
      <c r="AH126" t="s">
        <v>56</v>
      </c>
      <c r="AI126" t="str">
        <f t="shared" ca="1" si="29"/>
        <v>Priority 2</v>
      </c>
      <c r="AJ126" t="str">
        <f t="shared" ca="1" si="30"/>
        <v>P1 Disbursement=4 | P2 55=10 | P3 Estonia=5 | P4 BIN Sponsor Agreement In Place=6 | P5 Series A=6 | P6=14 | P7 Incumbent Unknown=3 | P8 Cloud-native (AWS/Azure/GCP), API-first, AI signals=6 | P9 Existing BIN Sponsor Relationship=8 | P10=10</v>
      </c>
      <c r="AL126" t="s">
        <v>61</v>
      </c>
      <c r="AM126" t="s">
        <v>56</v>
      </c>
      <c r="AO126" t="s">
        <v>92</v>
      </c>
      <c r="AP126" t="str">
        <f t="shared" si="31"/>
        <v>OK</v>
      </c>
      <c r="AQ126" t="s">
        <v>107</v>
      </c>
    </row>
    <row r="127" spans="1:43" ht="15" customHeight="1" x14ac:dyDescent="0.2">
      <c r="A127" t="s">
        <v>561</v>
      </c>
      <c r="B127" t="s">
        <v>562</v>
      </c>
      <c r="C127" t="s">
        <v>364</v>
      </c>
      <c r="D127" t="s">
        <v>48</v>
      </c>
      <c r="E127" t="s">
        <v>538</v>
      </c>
      <c r="F127">
        <v>35</v>
      </c>
      <c r="G127" t="s">
        <v>67</v>
      </c>
      <c r="H127" t="s">
        <v>51</v>
      </c>
      <c r="I127" t="s">
        <v>87</v>
      </c>
      <c r="K127" t="s">
        <v>53</v>
      </c>
      <c r="L127" t="s">
        <v>77</v>
      </c>
      <c r="M127" t="s">
        <v>89</v>
      </c>
      <c r="N127" t="s">
        <v>56</v>
      </c>
      <c r="O127" t="s">
        <v>57</v>
      </c>
      <c r="P127">
        <v>40000</v>
      </c>
      <c r="Q127">
        <v>100000</v>
      </c>
      <c r="R127" t="s">
        <v>71</v>
      </c>
      <c r="S127" t="s">
        <v>563</v>
      </c>
      <c r="T127" s="12">
        <v>46253</v>
      </c>
      <c r="U127" t="s">
        <v>564</v>
      </c>
      <c r="V127">
        <f>IF(E127="","",IFERROR(VLOOKUP(E127,Scoring_Lookups!$A$5:$B$18,2,FALSE()),0))</f>
        <v>4</v>
      </c>
      <c r="W127">
        <f t="shared" si="24"/>
        <v>7</v>
      </c>
      <c r="X127">
        <f>IF(C127="","",IFERROR(VLOOKUP(C127,Scoring_Lookups!$D$5:$E$35,2,FALSE()),0))</f>
        <v>8</v>
      </c>
      <c r="Y127">
        <f>IF(G127="","",IFERROR(VLOOKUP(G127,Scoring_Lookups!$G$5:$H$16,2,FALSE()),0))</f>
        <v>6</v>
      </c>
      <c r="Z127">
        <f t="shared" ca="1" si="25"/>
        <v>6</v>
      </c>
      <c r="AA127">
        <f ca="1">IF(N127="Yes",0,IF(A127="",0,IF(COUNTIFS('04_Triggers'!B:B,A127,'04_Triggers'!D:D,"&gt;="&amp;(TODAY()-365))&gt;=2,20,IF(COUNTIFS('04_Triggers'!B:B,A127,'04_Triggers'!D:D,"&gt;="&amp;(TODAY()-365),'04_Triggers'!G:G,"High")&gt;=1,14,IF(COUNTIFS('04_Triggers'!B:B,A127,'04_Triggers'!D:D,"&gt;="&amp;(TODAY()-365))&gt;=1,7,IF(COUNTIFS('04_Triggers'!B:B,A127,'04_Triggers'!D:D,"&gt;="&amp;(TODAY()-1095),'04_Triggers'!D:D,"&lt;"&amp;(TODAY()-365))&gt;=1,7,0))))))</f>
        <v>14</v>
      </c>
      <c r="AB127">
        <f>IF(M127="","",IFERROR(VLOOKUP(M127,Scoring_Lookups!$J$5:$K$16,2,FALSE()),0))</f>
        <v>3</v>
      </c>
      <c r="AC127">
        <f>IF(O127="","",IFERROR(VLOOKUP(O127,Scoring_Lookups!$M$5:$N$8,2,FALSE()),0))</f>
        <v>6</v>
      </c>
      <c r="AD127">
        <f>IF(L127="","",IFERROR(VLOOKUP(L127,Scoring_Lookups!$P$5:$Q$9,2,FALSE()),0))</f>
        <v>8</v>
      </c>
      <c r="AE127">
        <f t="shared" si="26"/>
        <v>10</v>
      </c>
      <c r="AF127">
        <f t="shared" ca="1" si="27"/>
        <v>72</v>
      </c>
      <c r="AG127" t="str">
        <f t="shared" si="28"/>
        <v>OK</v>
      </c>
      <c r="AH127" t="s">
        <v>56</v>
      </c>
      <c r="AI127" t="str">
        <f t="shared" ca="1" si="29"/>
        <v>Priority 2</v>
      </c>
      <c r="AJ127" t="str">
        <f t="shared" ca="1" si="30"/>
        <v>P1 Disbursement=4 | P2 35=7 | P3 United Kingdom=8 | P4 BIN Sponsor Agreement In Place=6 | P5 Series A=6 | P6=14 | P7 Incumbent Unknown=3 | P8 Cloud-native (AWS/Azure/GCP), API-first, AI signals=6 | P9 Existing BIN Sponsor Relationship=8 | P10=10</v>
      </c>
      <c r="AL127" t="s">
        <v>61</v>
      </c>
      <c r="AM127" t="s">
        <v>56</v>
      </c>
      <c r="AO127" t="s">
        <v>92</v>
      </c>
      <c r="AP127" t="str">
        <f t="shared" si="31"/>
        <v>OK</v>
      </c>
      <c r="AQ127" t="s">
        <v>107</v>
      </c>
    </row>
    <row r="128" spans="1:43" ht="15" customHeight="1" x14ac:dyDescent="0.2">
      <c r="A128" t="s">
        <v>565</v>
      </c>
      <c r="B128" t="s">
        <v>566</v>
      </c>
      <c r="C128" t="s">
        <v>364</v>
      </c>
      <c r="D128" t="s">
        <v>48</v>
      </c>
      <c r="E128" t="s">
        <v>538</v>
      </c>
      <c r="F128">
        <v>400</v>
      </c>
      <c r="G128" t="s">
        <v>175</v>
      </c>
      <c r="H128" t="s">
        <v>81</v>
      </c>
      <c r="I128" t="s">
        <v>82</v>
      </c>
      <c r="K128" t="s">
        <v>567</v>
      </c>
      <c r="L128" t="s">
        <v>77</v>
      </c>
      <c r="M128" t="s">
        <v>130</v>
      </c>
      <c r="N128" t="s">
        <v>56</v>
      </c>
      <c r="O128" t="s">
        <v>70</v>
      </c>
      <c r="P128">
        <v>200000</v>
      </c>
      <c r="Q128">
        <v>400000</v>
      </c>
      <c r="R128" t="s">
        <v>71</v>
      </c>
      <c r="S128" t="s">
        <v>568</v>
      </c>
      <c r="T128" s="12">
        <v>46253</v>
      </c>
      <c r="U128" t="s">
        <v>569</v>
      </c>
      <c r="V128">
        <f>IF(E128="","",IFERROR(VLOOKUP(E128,Scoring_Lookups!$A$5:$B$18,2,FALSE()),0))</f>
        <v>4</v>
      </c>
      <c r="W128">
        <f t="shared" si="24"/>
        <v>10</v>
      </c>
      <c r="X128">
        <f>IF(C128="","",IFERROR(VLOOKUP(C128,Scoring_Lookups!$D$5:$E$35,2,FALSE()),0))</f>
        <v>8</v>
      </c>
      <c r="Y128">
        <f>IF(G128="","",IFERROR(VLOOKUP(G128,Scoring_Lookups!$G$5:$H$16,2,FALSE()),0))</f>
        <v>8</v>
      </c>
      <c r="Z128">
        <f t="shared" ca="1" si="25"/>
        <v>3</v>
      </c>
      <c r="AA128">
        <f ca="1">IF(N128="Yes",0,IF(A128="",0,IF(COUNTIFS('04_Triggers'!B:B,A128,'04_Triggers'!D:D,"&gt;="&amp;(TODAY()-365))&gt;=2,20,IF(COUNTIFS('04_Triggers'!B:B,A128,'04_Triggers'!D:D,"&gt;="&amp;(TODAY()-365),'04_Triggers'!G:G,"High")&gt;=1,14,IF(COUNTIFS('04_Triggers'!B:B,A128,'04_Triggers'!D:D,"&gt;="&amp;(TODAY()-365))&gt;=1,7,IF(COUNTIFS('04_Triggers'!B:B,A128,'04_Triggers'!D:D,"&gt;="&amp;(TODAY()-1095),'04_Triggers'!D:D,"&lt;"&amp;(TODAY()-365))&gt;=1,7,0))))))</f>
        <v>7</v>
      </c>
      <c r="AB128">
        <f>IF(M128="","",IFERROR(VLOOKUP(M128,Scoring_Lookups!$J$5:$K$16,2,FALSE()),0))</f>
        <v>8</v>
      </c>
      <c r="AC128">
        <f>IF(O128="","",IFERROR(VLOOKUP(O128,Scoring_Lookups!$M$5:$N$8,2,FALSE()),0))</f>
        <v>4</v>
      </c>
      <c r="AD128">
        <f>IF(L128="","",IFERROR(VLOOKUP(L128,Scoring_Lookups!$P$5:$Q$9,2,FALSE()),0))</f>
        <v>8</v>
      </c>
      <c r="AE128">
        <f t="shared" si="26"/>
        <v>10</v>
      </c>
      <c r="AF128">
        <f t="shared" ca="1" si="27"/>
        <v>70</v>
      </c>
      <c r="AG128" t="str">
        <f t="shared" si="28"/>
        <v>OK</v>
      </c>
      <c r="AH128" t="s">
        <v>56</v>
      </c>
      <c r="AI128" t="str">
        <f t="shared" ca="1" si="29"/>
        <v>Priority 2</v>
      </c>
      <c r="AJ128" t="str">
        <f t="shared" ca="1" si="30"/>
        <v>P1 Disbursement=4 | P2 400=10 | P3 United Kingdom=8 | P4 EMI Licence=8 | P5 Listed Stable=3 | P6=7 | P7 In-house Legacy Processor=8 | P8 Cloud modern, Not API-first=4 | P9 Existing BIN Sponsor Relationship=8 | P10=10</v>
      </c>
      <c r="AL128" t="s">
        <v>61</v>
      </c>
      <c r="AM128" t="s">
        <v>56</v>
      </c>
      <c r="AO128" t="s">
        <v>92</v>
      </c>
      <c r="AP128" t="str">
        <f t="shared" si="31"/>
        <v>OK</v>
      </c>
      <c r="AQ128" t="s">
        <v>107</v>
      </c>
    </row>
    <row r="129" spans="1:43" ht="15" customHeight="1" x14ac:dyDescent="0.2">
      <c r="A129" t="s">
        <v>570</v>
      </c>
      <c r="B129" t="s">
        <v>571</v>
      </c>
      <c r="C129" t="s">
        <v>381</v>
      </c>
      <c r="D129" t="s">
        <v>48</v>
      </c>
      <c r="E129" t="s">
        <v>49</v>
      </c>
      <c r="F129">
        <v>200</v>
      </c>
      <c r="G129" t="s">
        <v>50</v>
      </c>
      <c r="H129" t="s">
        <v>51</v>
      </c>
      <c r="I129" t="s">
        <v>368</v>
      </c>
      <c r="K129" t="s">
        <v>53</v>
      </c>
      <c r="L129" t="s">
        <v>54</v>
      </c>
      <c r="M129" t="s">
        <v>55</v>
      </c>
      <c r="N129" t="s">
        <v>56</v>
      </c>
      <c r="O129" t="s">
        <v>57</v>
      </c>
      <c r="P129">
        <v>0</v>
      </c>
      <c r="Q129">
        <v>50000</v>
      </c>
      <c r="R129" t="s">
        <v>71</v>
      </c>
      <c r="S129" t="s">
        <v>559</v>
      </c>
      <c r="T129" s="12">
        <v>46253</v>
      </c>
      <c r="U129" t="s">
        <v>572</v>
      </c>
      <c r="V129">
        <f>IF(E129="","",IFERROR(VLOOKUP(E129,Scoring_Lookups!$A$5:$B$18,2,FALSE()),0))</f>
        <v>4</v>
      </c>
      <c r="W129">
        <f t="shared" si="24"/>
        <v>10</v>
      </c>
      <c r="X129">
        <f>IF(C129="","",IFERROR(VLOOKUP(C129,Scoring_Lookups!$D$5:$E$35,2,FALSE()),0))</f>
        <v>5</v>
      </c>
      <c r="Y129">
        <f>IF(G129="","",IFERROR(VLOOKUP(G129,Scoring_Lookups!$G$5:$H$16,2,FALSE()),0))</f>
        <v>6</v>
      </c>
      <c r="Z129">
        <f t="shared" ca="1" si="25"/>
        <v>0</v>
      </c>
      <c r="AA129">
        <f ca="1">IF(N129="Yes",0,IF(A129="",0,IF(COUNTIFS('04_Triggers'!B:B,A129,'04_Triggers'!D:D,"&gt;="&amp;(TODAY()-365))&gt;=2,20,IF(COUNTIFS('04_Triggers'!B:B,A129,'04_Triggers'!D:D,"&gt;="&amp;(TODAY()-365),'04_Triggers'!G:G,"High")&gt;=1,14,IF(COUNTIFS('04_Triggers'!B:B,A129,'04_Triggers'!D:D,"&gt;="&amp;(TODAY()-365))&gt;=1,7,IF(COUNTIFS('04_Triggers'!B:B,A129,'04_Triggers'!D:D,"&gt;="&amp;(TODAY()-1095),'04_Triggers'!D:D,"&lt;"&amp;(TODAY()-365))&gt;=1,7,0))))))</f>
        <v>0</v>
      </c>
      <c r="AB129">
        <f>IF(M129="","",IFERROR(VLOOKUP(M129,Scoring_Lookups!$J$5:$K$16,2,FALSE()),0))</f>
        <v>4</v>
      </c>
      <c r="AC129">
        <f>IF(O129="","",IFERROR(VLOOKUP(O129,Scoring_Lookups!$M$5:$N$8,2,FALSE()),0))</f>
        <v>6</v>
      </c>
      <c r="AD129">
        <f>IF(L129="","",IFERROR(VLOOKUP(L129,Scoring_Lookups!$P$5:$Q$9,2,FALSE()),0))</f>
        <v>3</v>
      </c>
      <c r="AE129">
        <f t="shared" si="26"/>
        <v>10</v>
      </c>
      <c r="AF129">
        <f t="shared" ca="1" si="27"/>
        <v>48</v>
      </c>
      <c r="AG129" t="str">
        <f t="shared" si="28"/>
        <v>OK</v>
      </c>
      <c r="AH129" t="s">
        <v>56</v>
      </c>
      <c r="AI129" t="str">
        <f t="shared" ca="1" si="29"/>
        <v>Priority 3</v>
      </c>
      <c r="AJ129" t="str">
        <f t="shared" ca="1" si="30"/>
        <v>P1 Payments=4 | P2 200=10 | P3 Estonia=5 | P4 PI Licence=6 | P5 Series B=0 | P6=0 | P7 Planning to Launch (No Incumbent Yet)=4 | P8 Cloud-native (AWS/Azure/GCP), API-first, AI signals=6 | P9 No Sponsor, Licensing Suggests Imminent=3 | P10=10</v>
      </c>
      <c r="AL129" t="s">
        <v>61</v>
      </c>
      <c r="AM129" t="s">
        <v>56</v>
      </c>
      <c r="AO129" t="s">
        <v>73</v>
      </c>
      <c r="AP129" t="str">
        <f t="shared" si="31"/>
        <v>OK</v>
      </c>
      <c r="AQ129" t="s">
        <v>107</v>
      </c>
    </row>
    <row r="130" spans="1:43" ht="15" customHeight="1" x14ac:dyDescent="0.2">
      <c r="A130" t="s">
        <v>573</v>
      </c>
      <c r="B130" t="s">
        <v>574</v>
      </c>
      <c r="C130" t="s">
        <v>575</v>
      </c>
      <c r="D130" t="s">
        <v>48</v>
      </c>
      <c r="E130" t="s">
        <v>76</v>
      </c>
      <c r="F130">
        <v>650</v>
      </c>
      <c r="G130" t="s">
        <v>175</v>
      </c>
      <c r="H130" t="s">
        <v>51</v>
      </c>
      <c r="I130" t="s">
        <v>374</v>
      </c>
      <c r="K130" t="s">
        <v>567</v>
      </c>
      <c r="L130" t="s">
        <v>114</v>
      </c>
      <c r="M130" t="s">
        <v>130</v>
      </c>
      <c r="N130" t="s">
        <v>56</v>
      </c>
      <c r="O130" t="s">
        <v>57</v>
      </c>
      <c r="P130">
        <v>100000</v>
      </c>
      <c r="Q130">
        <v>300000</v>
      </c>
      <c r="R130" t="s">
        <v>71</v>
      </c>
      <c r="S130" t="s">
        <v>576</v>
      </c>
      <c r="T130" s="12">
        <v>46253</v>
      </c>
      <c r="U130" t="s">
        <v>577</v>
      </c>
      <c r="V130">
        <f>IF(E130="","",IFERROR(VLOOKUP(E130,Scoring_Lookups!$A$5:$B$18,2,FALSE()),0))</f>
        <v>7</v>
      </c>
      <c r="W130">
        <f t="shared" si="24"/>
        <v>10</v>
      </c>
      <c r="X130">
        <f>IF(C130="","",IFERROR(VLOOKUP(C130,Scoring_Lookups!$D$5:$E$35,2,FALSE()),0))</f>
        <v>5</v>
      </c>
      <c r="Y130">
        <f>IF(G130="","",IFERROR(VLOOKUP(G130,Scoring_Lookups!$G$5:$H$16,2,FALSE()),0))</f>
        <v>8</v>
      </c>
      <c r="Z130">
        <f t="shared" ca="1" si="25"/>
        <v>0</v>
      </c>
      <c r="AA130">
        <f ca="1">IF(N130="Yes",0,IF(A130="",0,IF(COUNTIFS('04_Triggers'!B:B,A130,'04_Triggers'!D:D,"&gt;="&amp;(TODAY()-365))&gt;=2,20,IF(COUNTIFS('04_Triggers'!B:B,A130,'04_Triggers'!D:D,"&gt;="&amp;(TODAY()-365),'04_Triggers'!G:G,"High")&gt;=1,14,IF(COUNTIFS('04_Triggers'!B:B,A130,'04_Triggers'!D:D,"&gt;="&amp;(TODAY()-365))&gt;=1,7,IF(COUNTIFS('04_Triggers'!B:B,A130,'04_Triggers'!D:D,"&gt;="&amp;(TODAY()-1095),'04_Triggers'!D:D,"&lt;"&amp;(TODAY()-365))&gt;=1,7,0))))))</f>
        <v>0</v>
      </c>
      <c r="AB130">
        <f>IF(M130="","",IFERROR(VLOOKUP(M130,Scoring_Lookups!$J$5:$K$16,2,FALSE()),0))</f>
        <v>8</v>
      </c>
      <c r="AC130">
        <f>IF(O130="","",IFERROR(VLOOKUP(O130,Scoring_Lookups!$M$5:$N$8,2,FALSE()),0))</f>
        <v>6</v>
      </c>
      <c r="AD130">
        <f>IF(L130="","",IFERROR(VLOOKUP(L130,Scoring_Lookups!$P$5:$Q$9,2,FALSE()),0))</f>
        <v>6</v>
      </c>
      <c r="AE130">
        <f t="shared" si="26"/>
        <v>10</v>
      </c>
      <c r="AF130">
        <f t="shared" ca="1" si="27"/>
        <v>60</v>
      </c>
      <c r="AG130" t="str">
        <f t="shared" si="28"/>
        <v>OK</v>
      </c>
      <c r="AH130" t="s">
        <v>56</v>
      </c>
      <c r="AI130" t="str">
        <f t="shared" ca="1" si="29"/>
        <v>Priority 2</v>
      </c>
      <c r="AJ130" t="str">
        <f t="shared" ca="1" si="30"/>
        <v>P1 BaaS=7 | P2 650=10 | P3 Luxembourg=5 | P4 EMI Licence=8 | P5 Series C=0 | P6=0 | P7 In-house Legacy Processor=8 | P8 Cloud-native (AWS/Azure/GCP), API-first, AI signals=6 | P9 Scheme Participation Visible=6 | P10=10</v>
      </c>
      <c r="AL130" t="s">
        <v>61</v>
      </c>
      <c r="AM130" t="s">
        <v>56</v>
      </c>
      <c r="AO130" t="s">
        <v>92</v>
      </c>
      <c r="AP130" t="str">
        <f t="shared" si="31"/>
        <v>OK</v>
      </c>
      <c r="AQ130" t="s">
        <v>107</v>
      </c>
    </row>
    <row r="131" spans="1:43" ht="15" customHeight="1" x14ac:dyDescent="0.2"/>
    <row r="132" spans="1:43" ht="15" customHeight="1" x14ac:dyDescent="0.2"/>
    <row r="133" spans="1:43" ht="15" customHeight="1" x14ac:dyDescent="0.2"/>
    <row r="134" spans="1:43" ht="15" customHeight="1" x14ac:dyDescent="0.2"/>
    <row r="135" spans="1:43" ht="15" customHeight="1" x14ac:dyDescent="0.2"/>
    <row r="136" spans="1:43" ht="15" customHeight="1" x14ac:dyDescent="0.2"/>
    <row r="137" spans="1:43" ht="15" customHeight="1" x14ac:dyDescent="0.2"/>
    <row r="138" spans="1:43" ht="15" customHeight="1" x14ac:dyDescent="0.2"/>
    <row r="139" spans="1:43" ht="15" customHeight="1" x14ac:dyDescent="0.2"/>
    <row r="140" spans="1:43" ht="15" customHeight="1" x14ac:dyDescent="0.2"/>
    <row r="141" spans="1:43" ht="15" customHeight="1" x14ac:dyDescent="0.2"/>
    <row r="142" spans="1:43" ht="15" customHeight="1" x14ac:dyDescent="0.2"/>
    <row r="143" spans="1:43" ht="15" customHeight="1" x14ac:dyDescent="0.2"/>
    <row r="144" spans="1:43"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5"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ht="15" customHeight="1" x14ac:dyDescent="0.2"/>
    <row r="498" ht="15" customHeight="1" x14ac:dyDescent="0.2"/>
    <row r="499" ht="15" customHeight="1" x14ac:dyDescent="0.2"/>
    <row r="500" ht="15" customHeight="1" x14ac:dyDescent="0.2"/>
  </sheetData>
  <autoFilter ref="A4:AP130" xr:uid="{00000000-0009-0000-0000-000003000000}">
    <filterColumn colId="40">
      <filters blank="1">
        <filter val="Live, Migration Window"/>
        <filter val="Live, Urgent Need"/>
        <filter val="Q1 2027"/>
        <filter val="Q1 2028"/>
        <filter val="Q2 2027"/>
        <filter val="Q3 2027"/>
        <filter val="Q4 2026"/>
        <filter val="Q4 2027"/>
        <filter val="Unknown / TBD"/>
      </filters>
    </filterColumn>
  </autoFilter>
  <mergeCells count="2">
    <mergeCell ref="A1:J1"/>
    <mergeCell ref="A2:J2"/>
  </mergeCells>
  <dataValidations count="13">
    <dataValidation type="list" allowBlank="1" errorTitle="Invalid entry" error="Value not in list" sqref="D5:D500" xr:uid="{00000000-0002-0000-0300-000000000000}">
      <formula1>"FinTech,Banking,Financial Services,Retail"</formula1>
      <formula2>0</formula2>
    </dataValidation>
    <dataValidation type="list" allowBlank="1" errorTitle="Invalid entry" error="Value not in list" sqref="E5:E500" xr:uid="{00000000-0002-0000-0300-000001000000}">
      <formula1>"Digital Banking,Neobank,Expense Management,Lending (SMB),Lending (Consumer),FX Payments,BaaS,Investment Management,Disbursement,Payments,Ecommerce,Retail,Gift Card,Crypto"</formula1>
      <formula2>0</formula2>
    </dataValidation>
    <dataValidation type="list" allowBlank="1" errorTitle="Invalid entry" error="Value not in list" sqref="G5:G500" xr:uid="{00000000-0002-0000-0300-000002000000}">
      <formula1>"EMI Licence,Credit Institution Licence,Scheme Principal Member,PI Licence,EMI Licence In Application,BIN Sponsor Agreement In Place,No Licence,BIN Sponsor Engaged,Secondary Regime,Unlicensed,No Sponsor,Licence Revoked,Sanctions Exposure"</formula1>
      <formula2>0</formula2>
    </dataValidation>
    <dataValidation type="list" allowBlank="1" errorTitle="Invalid entry" error="Value not in list" sqref="H5:H500" xr:uid="{00000000-0002-0000-0300-000003000000}">
      <formula1>"VC-backed,PE-controlled,Listed,Private,Bootstrapped"</formula1>
      <formula2>0</formula2>
    </dataValidation>
    <dataValidation type="list" allowBlank="1" errorTitle="Invalid entry" error="Value not in list" sqref="I5:I500" xr:uid="{00000000-0002-0000-0300-000004000000}">
      <formula1>"Series B,Series C,Series D+,Series A,Seed,PE-controlled Growth Mandate,PE-controlled Stable,Listed with Growth Profile,Listed Stable,Bootstrapped Profitable,Bootstrapped,Established Private Flat,Administration/Insolvency,Pending Wind-down,Sanctions Exposu"</formula1>
      <formula2>0</formula2>
    </dataValidation>
    <dataValidation type="list" allowBlank="1" errorTitle="Invalid entry" error="Value not in list" sqref="L5:L500" xr:uid="{00000000-0002-0000-0300-000005000000}">
      <formula1>"Existing BIN Sponsor Relationship,Scheme Principal,Scheme Participation Visible,No Sponsor,Licensing Suggests Imminent,No Scheme Participation Path"</formula1>
      <formula2>0</formula2>
    </dataValidation>
    <dataValidation type="list" allowBlank="1" errorTitle="Invalid entry" error="Value not in list" sqref="M5:M500" xr:uid="{00000000-0002-0000-0300-000006000000}">
      <formula1>"Marqeta,Paymentology,Thredd,Enfuce,Episode Six,Pismo,Legacy Processor (Named),In-house Legacy Processor,Smaller/Less-known Processor,Hybrid In-house Solution,Planning to Launch (No Incumbent Yet),Incumbent Unknown,No Card Program,No Plan"</formula1>
      <formula2>0</formula2>
    </dataValidation>
    <dataValidation type="list" allowBlank="1" errorTitle="Invalid entry" error="Value not in list" sqref="N5:N500 AH5:AH500 AM5:AM500" xr:uid="{00000000-0002-0000-0300-000007000000}">
      <formula1>"Yes,No"</formula1>
      <formula2>0</formula2>
    </dataValidation>
    <dataValidation type="list" allowBlank="1" errorTitle="Invalid entry" error="Value not in list" sqref="O5:O500" xr:uid="{00000000-0002-0000-0300-000008000000}">
      <formula1>"Cloud-native (AWS/Azure/GCP),API-first,AI signals,Cloud modern,Not API-first,Hybrid stack,limited signals,On-prem or No in-house engineering"</formula1>
      <formula2>0</formula2>
    </dataValidation>
    <dataValidation type="list" allowBlank="1" errorTitle="Invalid entry" error="Value not in list" sqref="R5:R500" xr:uid="{00000000-0002-0000-0300-000009000000}">
      <formula1>"Yes,No,Unknown"</formula1>
      <formula2>0</formula2>
    </dataValidation>
    <dataValidation type="list" allowBlank="1" errorTitle="Invalid entry" error="Value not in list" sqref="AL5:AL500" xr:uid="{00000000-0002-0000-0300-00000A000000}">
      <formula1>"Prospect,Discovery Scheduled,In Discovery,Qualified,Opportunity,Customer,Dormant,Disqualified"</formula1>
      <formula2>0</formula2>
    </dataValidation>
    <dataValidation type="list" allowBlank="1" errorTitle="Invalid entry" error="Value not in list" sqref="AO5:AO500" xr:uid="{00000000-0002-0000-0300-00000B000000}">
      <formula1>"Q1 2027,Q2 2027,Q3 2027,Q4 2027,Q1 2028,Q2 2028,Live,Migration Window,Live,Urgent Need,Unknown / TBD"</formula1>
      <formula2>0</formula2>
    </dataValidation>
    <dataValidation type="list" allowBlank="1" errorTitle="Invalid Category" error="Value not in list" sqref="AQ5:AQ500" xr:uid="{00000000-0002-0000-0300-00000C000000}">
      <formula1>"Consumer,Commercial and B2B,Disbursement and Payout,Vertical-specialist"</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0"/>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5" x14ac:dyDescent="0.2"/>
  <cols>
    <col min="1" max="2" width="12" customWidth="1"/>
    <col min="3" max="4" width="16" customWidth="1"/>
    <col min="5" max="5" width="26" customWidth="1"/>
    <col min="6" max="6" width="22" customWidth="1"/>
    <col min="7" max="7" width="32" customWidth="1"/>
    <col min="8" max="8" width="22" customWidth="1"/>
    <col min="9" max="9" width="34" customWidth="1"/>
    <col min="10" max="10" width="12" customWidth="1"/>
    <col min="11" max="11" width="20" customWidth="1"/>
    <col min="12" max="12" width="14" customWidth="1"/>
    <col min="13" max="13" width="42" customWidth="1"/>
    <col min="14" max="15" width="32" customWidth="1"/>
    <col min="16" max="17" width="18" customWidth="1"/>
    <col min="18" max="20" width="14" customWidth="1"/>
  </cols>
  <sheetData>
    <row r="1" spans="1:20" ht="27.75" customHeight="1" x14ac:dyDescent="0.3">
      <c r="A1" s="20" t="s">
        <v>741</v>
      </c>
      <c r="B1" s="21"/>
      <c r="C1" s="21"/>
      <c r="D1" s="21"/>
      <c r="E1" s="21"/>
      <c r="F1" s="21"/>
      <c r="G1" s="21"/>
      <c r="H1" s="21"/>
    </row>
    <row r="2" spans="1:20" ht="15" customHeight="1" x14ac:dyDescent="0.2">
      <c r="A2" s="22" t="s">
        <v>742</v>
      </c>
      <c r="B2" s="21"/>
      <c r="C2" s="21"/>
      <c r="D2" s="21"/>
      <c r="E2" s="21"/>
      <c r="F2" s="21"/>
      <c r="G2" s="21"/>
      <c r="H2" s="21"/>
    </row>
    <row r="4" spans="1:20" ht="41.25" customHeight="1" x14ac:dyDescent="0.2">
      <c r="A4" s="2" t="s">
        <v>743</v>
      </c>
      <c r="B4" s="2" t="s">
        <v>2</v>
      </c>
      <c r="C4" s="2" t="s">
        <v>744</v>
      </c>
      <c r="D4" s="2" t="s">
        <v>745</v>
      </c>
      <c r="E4" s="2" t="s">
        <v>746</v>
      </c>
      <c r="F4" s="2" t="s">
        <v>747</v>
      </c>
      <c r="G4" s="2" t="s">
        <v>748</v>
      </c>
      <c r="H4" s="2" t="s">
        <v>749</v>
      </c>
      <c r="I4" s="2" t="s">
        <v>750</v>
      </c>
      <c r="J4" s="2" t="s">
        <v>4</v>
      </c>
      <c r="K4" s="2" t="s">
        <v>20</v>
      </c>
      <c r="L4" s="2" t="s">
        <v>21</v>
      </c>
      <c r="M4" s="2" t="s">
        <v>751</v>
      </c>
      <c r="N4" s="2" t="s">
        <v>752</v>
      </c>
      <c r="O4" s="2" t="s">
        <v>753</v>
      </c>
      <c r="P4" s="2" t="s">
        <v>754</v>
      </c>
      <c r="Q4" s="2" t="s">
        <v>755</v>
      </c>
      <c r="R4" s="2" t="s">
        <v>756</v>
      </c>
      <c r="S4" s="2" t="s">
        <v>40</v>
      </c>
      <c r="T4" s="2" t="s">
        <v>41</v>
      </c>
    </row>
    <row r="5" spans="1:20" ht="15" customHeight="1" x14ac:dyDescent="0.2">
      <c r="A5" s="4"/>
      <c r="B5" s="4"/>
      <c r="C5" s="4"/>
      <c r="D5" s="4"/>
      <c r="E5" s="4"/>
      <c r="F5" s="4"/>
      <c r="G5" s="4"/>
      <c r="H5" s="4"/>
      <c r="I5" s="4"/>
      <c r="J5" s="4"/>
      <c r="K5" s="4"/>
      <c r="L5" s="4"/>
      <c r="M5" s="4"/>
      <c r="N5" s="4"/>
      <c r="O5" s="4"/>
      <c r="P5" s="4"/>
      <c r="Q5" s="4"/>
      <c r="R5" s="4"/>
      <c r="S5" s="4"/>
      <c r="T5" s="4"/>
    </row>
    <row r="6" spans="1:20" ht="15" customHeight="1" x14ac:dyDescent="0.2">
      <c r="A6" s="3"/>
      <c r="B6" s="3"/>
      <c r="C6" s="3"/>
      <c r="D6" s="3"/>
      <c r="E6" s="3"/>
      <c r="F6" s="3"/>
      <c r="G6" s="3"/>
      <c r="H6" s="3"/>
      <c r="I6" s="3"/>
      <c r="J6" s="3"/>
      <c r="K6" s="3"/>
      <c r="L6" s="3"/>
      <c r="M6" s="3"/>
      <c r="N6" s="3"/>
      <c r="O6" s="3"/>
      <c r="P6" s="3"/>
      <c r="Q6" s="3"/>
      <c r="R6" s="3"/>
      <c r="S6" s="3"/>
      <c r="T6" s="3"/>
    </row>
    <row r="7" spans="1:20" ht="15" customHeight="1" x14ac:dyDescent="0.2">
      <c r="A7" s="4"/>
      <c r="B7" s="4"/>
      <c r="C7" s="4"/>
      <c r="D7" s="4"/>
      <c r="E7" s="4"/>
      <c r="F7" s="4"/>
      <c r="G7" s="4"/>
      <c r="H7" s="4"/>
      <c r="I7" s="4"/>
      <c r="J7" s="4"/>
      <c r="K7" s="4"/>
      <c r="L7" s="4"/>
      <c r="M7" s="4"/>
      <c r="N7" s="4"/>
      <c r="O7" s="4"/>
      <c r="P7" s="4"/>
      <c r="Q7" s="4"/>
      <c r="R7" s="4"/>
      <c r="S7" s="4"/>
      <c r="T7" s="4"/>
    </row>
    <row r="8" spans="1:20" ht="15" customHeight="1" x14ac:dyDescent="0.2">
      <c r="A8" s="3"/>
      <c r="B8" s="3"/>
      <c r="C8" s="3"/>
      <c r="D8" s="3"/>
      <c r="E8" s="3"/>
      <c r="F8" s="3"/>
      <c r="G8" s="3"/>
      <c r="H8" s="3"/>
      <c r="I8" s="3"/>
      <c r="J8" s="3"/>
      <c r="K8" s="3"/>
      <c r="L8" s="3"/>
      <c r="M8" s="3"/>
      <c r="N8" s="3"/>
      <c r="O8" s="3"/>
      <c r="P8" s="3"/>
      <c r="Q8" s="3"/>
      <c r="R8" s="3"/>
      <c r="S8" s="3"/>
      <c r="T8" s="3"/>
    </row>
    <row r="9" spans="1:20" ht="15" customHeight="1" x14ac:dyDescent="0.2">
      <c r="A9" s="4"/>
      <c r="B9" s="4"/>
      <c r="C9" s="4"/>
      <c r="D9" s="4"/>
      <c r="E9" s="4"/>
      <c r="F9" s="4"/>
      <c r="G9" s="4"/>
      <c r="H9" s="4"/>
      <c r="I9" s="4"/>
      <c r="J9" s="4"/>
      <c r="K9" s="4"/>
      <c r="L9" s="4"/>
      <c r="M9" s="4"/>
      <c r="N9" s="4"/>
      <c r="O9" s="4"/>
      <c r="P9" s="4"/>
      <c r="Q9" s="4"/>
      <c r="R9" s="4"/>
      <c r="S9" s="4"/>
      <c r="T9" s="4"/>
    </row>
    <row r="10" spans="1:20" ht="15" customHeight="1" x14ac:dyDescent="0.2">
      <c r="A10" s="3"/>
      <c r="B10" s="3"/>
      <c r="C10" s="3"/>
      <c r="D10" s="3"/>
      <c r="E10" s="3"/>
      <c r="F10" s="3"/>
      <c r="G10" s="3"/>
      <c r="H10" s="3"/>
      <c r="I10" s="3"/>
      <c r="J10" s="3"/>
      <c r="K10" s="3"/>
      <c r="L10" s="3"/>
      <c r="M10" s="3"/>
      <c r="N10" s="3"/>
      <c r="O10" s="3"/>
      <c r="P10" s="3"/>
      <c r="Q10" s="3"/>
      <c r="R10" s="3"/>
      <c r="S10" s="3"/>
      <c r="T10" s="3"/>
    </row>
    <row r="11" spans="1:20" ht="15" customHeight="1" x14ac:dyDescent="0.2">
      <c r="A11" s="4"/>
      <c r="B11" s="4"/>
      <c r="C11" s="4"/>
      <c r="D11" s="4"/>
      <c r="E11" s="4"/>
      <c r="F11" s="4"/>
      <c r="G11" s="4"/>
      <c r="H11" s="4"/>
      <c r="I11" s="4"/>
      <c r="J11" s="4"/>
      <c r="K11" s="4"/>
      <c r="L11" s="4"/>
      <c r="M11" s="4"/>
      <c r="N11" s="4"/>
      <c r="O11" s="4"/>
      <c r="P11" s="4"/>
      <c r="Q11" s="4"/>
      <c r="R11" s="4"/>
      <c r="S11" s="4"/>
      <c r="T11" s="4"/>
    </row>
    <row r="12" spans="1:20" ht="15" customHeight="1" x14ac:dyDescent="0.2">
      <c r="A12" s="3"/>
      <c r="B12" s="3"/>
      <c r="C12" s="3"/>
      <c r="D12" s="3"/>
      <c r="E12" s="3"/>
      <c r="F12" s="3"/>
      <c r="G12" s="3"/>
      <c r="H12" s="3"/>
      <c r="I12" s="3"/>
      <c r="J12" s="3"/>
      <c r="K12" s="3"/>
      <c r="L12" s="3"/>
      <c r="M12" s="3"/>
      <c r="N12" s="3"/>
      <c r="O12" s="3"/>
      <c r="P12" s="3"/>
      <c r="Q12" s="3"/>
      <c r="R12" s="3"/>
      <c r="S12" s="3"/>
      <c r="T12" s="3"/>
    </row>
    <row r="13" spans="1:20" ht="15" customHeight="1" x14ac:dyDescent="0.2">
      <c r="A13" s="4"/>
      <c r="B13" s="4"/>
      <c r="C13" s="4"/>
      <c r="D13" s="4"/>
      <c r="E13" s="4"/>
      <c r="F13" s="4"/>
      <c r="G13" s="4"/>
      <c r="H13" s="4"/>
      <c r="I13" s="4"/>
      <c r="J13" s="4"/>
      <c r="K13" s="4"/>
      <c r="L13" s="4"/>
      <c r="M13" s="4"/>
      <c r="N13" s="4"/>
      <c r="O13" s="4"/>
      <c r="P13" s="4"/>
      <c r="Q13" s="4"/>
      <c r="R13" s="4"/>
      <c r="S13" s="4"/>
      <c r="T13" s="4"/>
    </row>
    <row r="14" spans="1:20" ht="15" customHeight="1" x14ac:dyDescent="0.2">
      <c r="A14" s="3"/>
      <c r="B14" s="3"/>
      <c r="C14" s="3"/>
      <c r="D14" s="3"/>
      <c r="E14" s="3"/>
      <c r="F14" s="3"/>
      <c r="G14" s="3"/>
      <c r="H14" s="3"/>
      <c r="I14" s="3"/>
      <c r="J14" s="3"/>
      <c r="K14" s="3"/>
      <c r="L14" s="3"/>
      <c r="M14" s="3"/>
      <c r="N14" s="3"/>
      <c r="O14" s="3"/>
      <c r="P14" s="3"/>
      <c r="Q14" s="3"/>
      <c r="R14" s="3"/>
      <c r="S14" s="3"/>
      <c r="T14" s="3"/>
    </row>
    <row r="15" spans="1:20" ht="15" customHeight="1" x14ac:dyDescent="0.2">
      <c r="A15" s="4"/>
      <c r="B15" s="4"/>
      <c r="C15" s="4"/>
      <c r="D15" s="4"/>
      <c r="E15" s="4"/>
      <c r="F15" s="4"/>
      <c r="G15" s="4"/>
      <c r="H15" s="4"/>
      <c r="I15" s="4"/>
      <c r="J15" s="4"/>
      <c r="K15" s="4"/>
      <c r="L15" s="4"/>
      <c r="M15" s="4"/>
      <c r="N15" s="4"/>
      <c r="O15" s="4"/>
      <c r="P15" s="4"/>
      <c r="Q15" s="4"/>
      <c r="R15" s="4"/>
      <c r="S15" s="4"/>
      <c r="T15" s="4"/>
    </row>
    <row r="16" spans="1:20" ht="15" customHeight="1" x14ac:dyDescent="0.2">
      <c r="A16" s="3"/>
      <c r="B16" s="3"/>
      <c r="C16" s="3"/>
      <c r="D16" s="3"/>
      <c r="E16" s="3"/>
      <c r="F16" s="3"/>
      <c r="G16" s="3"/>
      <c r="H16" s="3"/>
      <c r="I16" s="3"/>
      <c r="J16" s="3"/>
      <c r="K16" s="3"/>
      <c r="L16" s="3"/>
      <c r="M16" s="3"/>
      <c r="N16" s="3"/>
      <c r="O16" s="3"/>
      <c r="P16" s="3"/>
      <c r="Q16" s="3"/>
      <c r="R16" s="3"/>
      <c r="S16" s="3"/>
      <c r="T16" s="3"/>
    </row>
    <row r="17" spans="1:20" ht="15" customHeight="1" x14ac:dyDescent="0.2">
      <c r="A17" s="4"/>
      <c r="B17" s="4"/>
      <c r="C17" s="4"/>
      <c r="D17" s="4"/>
      <c r="E17" s="4"/>
      <c r="F17" s="4"/>
      <c r="G17" s="4"/>
      <c r="H17" s="4"/>
      <c r="I17" s="4"/>
      <c r="J17" s="4"/>
      <c r="K17" s="4"/>
      <c r="L17" s="4"/>
      <c r="M17" s="4"/>
      <c r="N17" s="4"/>
      <c r="O17" s="4"/>
      <c r="P17" s="4"/>
      <c r="Q17" s="4"/>
      <c r="R17" s="4"/>
      <c r="S17" s="4"/>
      <c r="T17" s="4"/>
    </row>
    <row r="18" spans="1:20" ht="15" customHeight="1" x14ac:dyDescent="0.2">
      <c r="A18" s="3"/>
      <c r="B18" s="3"/>
      <c r="C18" s="3"/>
      <c r="D18" s="3"/>
      <c r="E18" s="3"/>
      <c r="F18" s="3"/>
      <c r="G18" s="3"/>
      <c r="H18" s="3"/>
      <c r="I18" s="3"/>
      <c r="J18" s="3"/>
      <c r="K18" s="3"/>
      <c r="L18" s="3"/>
      <c r="M18" s="3"/>
      <c r="N18" s="3"/>
      <c r="O18" s="3"/>
      <c r="P18" s="3"/>
      <c r="Q18" s="3"/>
      <c r="R18" s="3"/>
      <c r="S18" s="3"/>
      <c r="T18" s="3"/>
    </row>
    <row r="19" spans="1:20" ht="15" customHeight="1" x14ac:dyDescent="0.2">
      <c r="A19" s="4"/>
      <c r="B19" s="4"/>
      <c r="C19" s="4"/>
      <c r="D19" s="4"/>
      <c r="E19" s="4"/>
      <c r="F19" s="4"/>
      <c r="G19" s="4"/>
      <c r="H19" s="4"/>
      <c r="I19" s="4"/>
      <c r="J19" s="4"/>
      <c r="K19" s="4"/>
      <c r="L19" s="4"/>
      <c r="M19" s="4"/>
      <c r="N19" s="4"/>
      <c r="O19" s="4"/>
      <c r="P19" s="4"/>
      <c r="Q19" s="4"/>
      <c r="R19" s="4"/>
      <c r="S19" s="4"/>
      <c r="T19" s="4"/>
    </row>
    <row r="20" spans="1:20" ht="15" customHeight="1" x14ac:dyDescent="0.2">
      <c r="A20" s="3"/>
      <c r="B20" s="3"/>
      <c r="C20" s="3"/>
      <c r="D20" s="3"/>
      <c r="E20" s="3"/>
      <c r="F20" s="3"/>
      <c r="G20" s="3"/>
      <c r="H20" s="3"/>
      <c r="I20" s="3"/>
      <c r="J20" s="3"/>
      <c r="K20" s="3"/>
      <c r="L20" s="3"/>
      <c r="M20" s="3"/>
      <c r="N20" s="3"/>
      <c r="O20" s="3"/>
      <c r="P20" s="3"/>
      <c r="Q20" s="3"/>
      <c r="R20" s="3"/>
      <c r="S20" s="3"/>
      <c r="T20" s="3"/>
    </row>
    <row r="21" spans="1:20" ht="15" customHeight="1" x14ac:dyDescent="0.2">
      <c r="A21" s="4"/>
      <c r="B21" s="4"/>
      <c r="C21" s="4"/>
      <c r="D21" s="4"/>
      <c r="E21" s="4"/>
      <c r="F21" s="4"/>
      <c r="G21" s="4"/>
      <c r="H21" s="4"/>
      <c r="I21" s="4"/>
      <c r="J21" s="4"/>
      <c r="K21" s="4"/>
      <c r="L21" s="4"/>
      <c r="M21" s="4"/>
      <c r="N21" s="4"/>
      <c r="O21" s="4"/>
      <c r="P21" s="4"/>
      <c r="Q21" s="4"/>
      <c r="R21" s="4"/>
      <c r="S21" s="4"/>
      <c r="T21" s="4"/>
    </row>
    <row r="22" spans="1:20" ht="15" customHeight="1" x14ac:dyDescent="0.2">
      <c r="A22" s="3"/>
      <c r="B22" s="3"/>
      <c r="C22" s="3"/>
      <c r="D22" s="3"/>
      <c r="E22" s="3"/>
      <c r="F22" s="3"/>
      <c r="G22" s="3"/>
      <c r="H22" s="3"/>
      <c r="I22" s="3"/>
      <c r="J22" s="3"/>
      <c r="K22" s="3"/>
      <c r="L22" s="3"/>
      <c r="M22" s="3"/>
      <c r="N22" s="3"/>
      <c r="O22" s="3"/>
      <c r="P22" s="3"/>
      <c r="Q22" s="3"/>
      <c r="R22" s="3"/>
      <c r="S22" s="3"/>
      <c r="T22" s="3"/>
    </row>
    <row r="23" spans="1:20" ht="15" customHeight="1" x14ac:dyDescent="0.2">
      <c r="A23" s="4"/>
      <c r="B23" s="4"/>
      <c r="C23" s="4"/>
      <c r="D23" s="4"/>
      <c r="E23" s="4"/>
      <c r="F23" s="4"/>
      <c r="G23" s="4"/>
      <c r="H23" s="4"/>
      <c r="I23" s="4"/>
      <c r="J23" s="4"/>
      <c r="K23" s="4"/>
      <c r="L23" s="4"/>
      <c r="M23" s="4"/>
      <c r="N23" s="4"/>
      <c r="O23" s="4"/>
      <c r="P23" s="4"/>
      <c r="Q23" s="4"/>
      <c r="R23" s="4"/>
      <c r="S23" s="4"/>
      <c r="T23" s="4"/>
    </row>
    <row r="24" spans="1:20" ht="15" customHeight="1" x14ac:dyDescent="0.2">
      <c r="A24" s="3"/>
      <c r="B24" s="3"/>
      <c r="C24" s="3"/>
      <c r="D24" s="3"/>
      <c r="E24" s="3"/>
      <c r="F24" s="3"/>
      <c r="G24" s="3"/>
      <c r="H24" s="3"/>
      <c r="I24" s="3"/>
      <c r="J24" s="3"/>
      <c r="K24" s="3"/>
      <c r="L24" s="3"/>
      <c r="M24" s="3"/>
      <c r="N24" s="3"/>
      <c r="O24" s="3"/>
      <c r="P24" s="3"/>
      <c r="Q24" s="3"/>
      <c r="R24" s="3"/>
      <c r="S24" s="3"/>
      <c r="T24" s="3"/>
    </row>
    <row r="25" spans="1:20" ht="15" customHeight="1" x14ac:dyDescent="0.2">
      <c r="A25" s="4"/>
      <c r="B25" s="4"/>
      <c r="C25" s="4"/>
      <c r="D25" s="4"/>
      <c r="E25" s="4"/>
      <c r="F25" s="4"/>
      <c r="G25" s="4"/>
      <c r="H25" s="4"/>
      <c r="I25" s="4"/>
      <c r="J25" s="4"/>
      <c r="K25" s="4"/>
      <c r="L25" s="4"/>
      <c r="M25" s="4"/>
      <c r="N25" s="4"/>
      <c r="O25" s="4"/>
      <c r="P25" s="4"/>
      <c r="Q25" s="4"/>
      <c r="R25" s="4"/>
      <c r="S25" s="4"/>
      <c r="T25" s="4"/>
    </row>
    <row r="26" spans="1:20" ht="15" customHeight="1" x14ac:dyDescent="0.2">
      <c r="A26" s="3"/>
      <c r="B26" s="3"/>
      <c r="C26" s="3"/>
      <c r="D26" s="3"/>
      <c r="E26" s="3"/>
      <c r="F26" s="3"/>
      <c r="G26" s="3"/>
      <c r="H26" s="3"/>
      <c r="I26" s="3"/>
      <c r="J26" s="3"/>
      <c r="K26" s="3"/>
      <c r="L26" s="3"/>
      <c r="M26" s="3"/>
      <c r="N26" s="3"/>
      <c r="O26" s="3"/>
      <c r="P26" s="3"/>
      <c r="Q26" s="3"/>
      <c r="R26" s="3"/>
      <c r="S26" s="3"/>
      <c r="T26" s="3"/>
    </row>
    <row r="27" spans="1:20" ht="15" customHeight="1" x14ac:dyDescent="0.2">
      <c r="A27" s="4"/>
      <c r="B27" s="4"/>
      <c r="C27" s="4"/>
      <c r="D27" s="4"/>
      <c r="E27" s="4"/>
      <c r="F27" s="4"/>
      <c r="G27" s="4"/>
      <c r="H27" s="4"/>
      <c r="I27" s="4"/>
      <c r="J27" s="4"/>
      <c r="K27" s="4"/>
      <c r="L27" s="4"/>
      <c r="M27" s="4"/>
      <c r="N27" s="4"/>
      <c r="O27" s="4"/>
      <c r="P27" s="4"/>
      <c r="Q27" s="4"/>
      <c r="R27" s="4"/>
      <c r="S27" s="4"/>
      <c r="T27" s="4"/>
    </row>
    <row r="28" spans="1:20" ht="15" customHeight="1" x14ac:dyDescent="0.2">
      <c r="A28" s="3"/>
      <c r="B28" s="3"/>
      <c r="C28" s="3"/>
      <c r="D28" s="3"/>
      <c r="E28" s="3"/>
      <c r="F28" s="3"/>
      <c r="G28" s="3"/>
      <c r="H28" s="3"/>
      <c r="I28" s="3"/>
      <c r="J28" s="3"/>
      <c r="K28" s="3"/>
      <c r="L28" s="3"/>
      <c r="M28" s="3"/>
      <c r="N28" s="3"/>
      <c r="O28" s="3"/>
      <c r="P28" s="3"/>
      <c r="Q28" s="3"/>
      <c r="R28" s="3"/>
      <c r="S28" s="3"/>
      <c r="T28" s="3"/>
    </row>
    <row r="29" spans="1:20" ht="15" customHeight="1" x14ac:dyDescent="0.2">
      <c r="A29" s="4"/>
      <c r="B29" s="4"/>
      <c r="C29" s="4"/>
      <c r="D29" s="4"/>
      <c r="E29" s="4"/>
      <c r="F29" s="4"/>
      <c r="G29" s="4"/>
      <c r="H29" s="4"/>
      <c r="I29" s="4"/>
      <c r="J29" s="4"/>
      <c r="K29" s="4"/>
      <c r="L29" s="4"/>
      <c r="M29" s="4"/>
      <c r="N29" s="4"/>
      <c r="O29" s="4"/>
      <c r="P29" s="4"/>
      <c r="Q29" s="4"/>
      <c r="R29" s="4"/>
      <c r="S29" s="4"/>
      <c r="T29" s="4"/>
    </row>
    <row r="30" spans="1:20" ht="15" customHeight="1" x14ac:dyDescent="0.2">
      <c r="A30" s="3"/>
      <c r="B30" s="3"/>
      <c r="C30" s="3"/>
      <c r="D30" s="3"/>
      <c r="E30" s="3"/>
      <c r="F30" s="3"/>
      <c r="G30" s="3"/>
      <c r="H30" s="3"/>
      <c r="I30" s="3"/>
      <c r="J30" s="3"/>
      <c r="K30" s="3"/>
      <c r="L30" s="3"/>
      <c r="M30" s="3"/>
      <c r="N30" s="3"/>
      <c r="O30" s="3"/>
      <c r="P30" s="3"/>
      <c r="Q30" s="3"/>
      <c r="R30" s="3"/>
      <c r="S30" s="3"/>
      <c r="T30" s="3"/>
    </row>
    <row r="31" spans="1:20" ht="15" customHeight="1" x14ac:dyDescent="0.2">
      <c r="A31" s="4"/>
      <c r="B31" s="4"/>
      <c r="C31" s="4"/>
      <c r="D31" s="4"/>
      <c r="E31" s="4"/>
      <c r="F31" s="4"/>
      <c r="G31" s="4"/>
      <c r="H31" s="4"/>
      <c r="I31" s="4"/>
      <c r="J31" s="4"/>
      <c r="K31" s="4"/>
      <c r="L31" s="4"/>
      <c r="M31" s="4"/>
      <c r="N31" s="4"/>
      <c r="O31" s="4"/>
      <c r="P31" s="4"/>
      <c r="Q31" s="4"/>
      <c r="R31" s="4"/>
      <c r="S31" s="4"/>
      <c r="T31" s="4"/>
    </row>
    <row r="32" spans="1:20" ht="15" customHeight="1" x14ac:dyDescent="0.2">
      <c r="A32" s="3"/>
      <c r="B32" s="3"/>
      <c r="C32" s="3"/>
      <c r="D32" s="3"/>
      <c r="E32" s="3"/>
      <c r="F32" s="3"/>
      <c r="G32" s="3"/>
      <c r="H32" s="3"/>
      <c r="I32" s="3"/>
      <c r="J32" s="3"/>
      <c r="K32" s="3"/>
      <c r="L32" s="3"/>
      <c r="M32" s="3"/>
      <c r="N32" s="3"/>
      <c r="O32" s="3"/>
      <c r="P32" s="3"/>
      <c r="Q32" s="3"/>
      <c r="R32" s="3"/>
      <c r="S32" s="3"/>
      <c r="T32" s="3"/>
    </row>
    <row r="33" spans="1:20" ht="15" customHeight="1" x14ac:dyDescent="0.2">
      <c r="A33" s="4"/>
      <c r="B33" s="4"/>
      <c r="C33" s="4"/>
      <c r="D33" s="4"/>
      <c r="E33" s="4"/>
      <c r="F33" s="4"/>
      <c r="G33" s="4"/>
      <c r="H33" s="4"/>
      <c r="I33" s="4"/>
      <c r="J33" s="4"/>
      <c r="K33" s="4"/>
      <c r="L33" s="4"/>
      <c r="M33" s="4"/>
      <c r="N33" s="4"/>
      <c r="O33" s="4"/>
      <c r="P33" s="4"/>
      <c r="Q33" s="4"/>
      <c r="R33" s="4"/>
      <c r="S33" s="4"/>
      <c r="T33" s="4"/>
    </row>
    <row r="34" spans="1:20" ht="15" customHeight="1" x14ac:dyDescent="0.2">
      <c r="A34" s="3"/>
      <c r="B34" s="3"/>
      <c r="C34" s="3"/>
      <c r="D34" s="3"/>
      <c r="E34" s="3"/>
      <c r="F34" s="3"/>
      <c r="G34" s="3"/>
      <c r="H34" s="3"/>
      <c r="I34" s="3"/>
      <c r="J34" s="3"/>
      <c r="K34" s="3"/>
      <c r="L34" s="3"/>
      <c r="M34" s="3"/>
      <c r="N34" s="3"/>
      <c r="O34" s="3"/>
      <c r="P34" s="3"/>
      <c r="Q34" s="3"/>
      <c r="R34" s="3"/>
      <c r="S34" s="3"/>
      <c r="T34" s="3"/>
    </row>
    <row r="35" spans="1:20" ht="15" customHeight="1" x14ac:dyDescent="0.2">
      <c r="A35" s="4"/>
      <c r="B35" s="4"/>
      <c r="C35" s="4"/>
      <c r="D35" s="4"/>
      <c r="E35" s="4"/>
      <c r="F35" s="4"/>
      <c r="G35" s="4"/>
      <c r="H35" s="4"/>
      <c r="I35" s="4"/>
      <c r="J35" s="4"/>
      <c r="K35" s="4"/>
      <c r="L35" s="4"/>
      <c r="M35" s="4"/>
      <c r="N35" s="4"/>
      <c r="O35" s="4"/>
      <c r="P35" s="4"/>
      <c r="Q35" s="4"/>
      <c r="R35" s="4"/>
      <c r="S35" s="4"/>
      <c r="T35" s="4"/>
    </row>
    <row r="36" spans="1:20" ht="15" customHeight="1" x14ac:dyDescent="0.2">
      <c r="A36" s="3"/>
      <c r="B36" s="3"/>
      <c r="C36" s="3"/>
      <c r="D36" s="3"/>
      <c r="E36" s="3"/>
      <c r="F36" s="3"/>
      <c r="G36" s="3"/>
      <c r="H36" s="3"/>
      <c r="I36" s="3"/>
      <c r="J36" s="3"/>
      <c r="K36" s="3"/>
      <c r="L36" s="3"/>
      <c r="M36" s="3"/>
      <c r="N36" s="3"/>
      <c r="O36" s="3"/>
      <c r="P36" s="3"/>
      <c r="Q36" s="3"/>
      <c r="R36" s="3"/>
      <c r="S36" s="3"/>
      <c r="T36" s="3"/>
    </row>
    <row r="37" spans="1:20" ht="15" customHeight="1" x14ac:dyDescent="0.2">
      <c r="A37" s="4"/>
      <c r="B37" s="4"/>
      <c r="C37" s="4"/>
      <c r="D37" s="4"/>
      <c r="E37" s="4"/>
      <c r="F37" s="4"/>
      <c r="G37" s="4"/>
      <c r="H37" s="4"/>
      <c r="I37" s="4"/>
      <c r="J37" s="4"/>
      <c r="K37" s="4"/>
      <c r="L37" s="4"/>
      <c r="M37" s="4"/>
      <c r="N37" s="4"/>
      <c r="O37" s="4"/>
      <c r="P37" s="4"/>
      <c r="Q37" s="4"/>
      <c r="R37" s="4"/>
      <c r="S37" s="4"/>
      <c r="T37" s="4"/>
    </row>
    <row r="38" spans="1:20" ht="15" customHeight="1" x14ac:dyDescent="0.2">
      <c r="A38" s="3"/>
      <c r="B38" s="3"/>
      <c r="C38" s="3"/>
      <c r="D38" s="3"/>
      <c r="E38" s="3"/>
      <c r="F38" s="3"/>
      <c r="G38" s="3"/>
      <c r="H38" s="3"/>
      <c r="I38" s="3"/>
      <c r="J38" s="3"/>
      <c r="K38" s="3"/>
      <c r="L38" s="3"/>
      <c r="M38" s="3"/>
      <c r="N38" s="3"/>
      <c r="O38" s="3"/>
      <c r="P38" s="3"/>
      <c r="Q38" s="3"/>
      <c r="R38" s="3"/>
      <c r="S38" s="3"/>
      <c r="T38" s="3"/>
    </row>
    <row r="39" spans="1:20" ht="15" customHeight="1" x14ac:dyDescent="0.2">
      <c r="A39" s="4"/>
      <c r="B39" s="4"/>
      <c r="C39" s="4"/>
      <c r="D39" s="4"/>
      <c r="E39" s="4"/>
      <c r="F39" s="4"/>
      <c r="G39" s="4"/>
      <c r="H39" s="4"/>
      <c r="I39" s="4"/>
      <c r="J39" s="4"/>
      <c r="K39" s="4"/>
      <c r="L39" s="4"/>
      <c r="M39" s="4"/>
      <c r="N39" s="4"/>
      <c r="O39" s="4"/>
      <c r="P39" s="4"/>
      <c r="Q39" s="4"/>
      <c r="R39" s="4"/>
      <c r="S39" s="4"/>
      <c r="T39" s="4"/>
    </row>
    <row r="40" spans="1:20" ht="15" customHeight="1" x14ac:dyDescent="0.2">
      <c r="A40" s="3"/>
      <c r="B40" s="3"/>
      <c r="C40" s="3"/>
      <c r="D40" s="3"/>
      <c r="E40" s="3"/>
      <c r="F40" s="3"/>
      <c r="G40" s="3"/>
      <c r="H40" s="3"/>
      <c r="I40" s="3"/>
      <c r="J40" s="3"/>
      <c r="K40" s="3"/>
      <c r="L40" s="3"/>
      <c r="M40" s="3"/>
      <c r="N40" s="3"/>
      <c r="O40" s="3"/>
      <c r="P40" s="3"/>
      <c r="Q40" s="3"/>
      <c r="R40" s="3"/>
      <c r="S40" s="3"/>
      <c r="T40" s="3"/>
    </row>
    <row r="41" spans="1:20" ht="15" customHeight="1" x14ac:dyDescent="0.2">
      <c r="A41" s="4"/>
      <c r="B41" s="4"/>
      <c r="C41" s="4"/>
      <c r="D41" s="4"/>
      <c r="E41" s="4"/>
      <c r="F41" s="4"/>
      <c r="G41" s="4"/>
      <c r="H41" s="4"/>
      <c r="I41" s="4"/>
      <c r="J41" s="4"/>
      <c r="K41" s="4"/>
      <c r="L41" s="4"/>
      <c r="M41" s="4"/>
      <c r="N41" s="4"/>
      <c r="O41" s="4"/>
      <c r="P41" s="4"/>
      <c r="Q41" s="4"/>
      <c r="R41" s="4"/>
      <c r="S41" s="4"/>
      <c r="T41" s="4"/>
    </row>
    <row r="42" spans="1:20" ht="15" customHeight="1" x14ac:dyDescent="0.2">
      <c r="A42" s="3"/>
      <c r="B42" s="3"/>
      <c r="C42" s="3"/>
      <c r="D42" s="3"/>
      <c r="E42" s="3"/>
      <c r="F42" s="3"/>
      <c r="G42" s="3"/>
      <c r="H42" s="3"/>
      <c r="I42" s="3"/>
      <c r="J42" s="3"/>
      <c r="K42" s="3"/>
      <c r="L42" s="3"/>
      <c r="M42" s="3"/>
      <c r="N42" s="3"/>
      <c r="O42" s="3"/>
      <c r="P42" s="3"/>
      <c r="Q42" s="3"/>
      <c r="R42" s="3"/>
      <c r="S42" s="3"/>
      <c r="T42" s="3"/>
    </row>
    <row r="43" spans="1:20" ht="15" customHeight="1" x14ac:dyDescent="0.2">
      <c r="A43" s="4"/>
      <c r="B43" s="4"/>
      <c r="C43" s="4"/>
      <c r="D43" s="4"/>
      <c r="E43" s="4"/>
      <c r="F43" s="4"/>
      <c r="G43" s="4"/>
      <c r="H43" s="4"/>
      <c r="I43" s="4"/>
      <c r="J43" s="4"/>
      <c r="K43" s="4"/>
      <c r="L43" s="4"/>
      <c r="M43" s="4"/>
      <c r="N43" s="4"/>
      <c r="O43" s="4"/>
      <c r="P43" s="4"/>
      <c r="Q43" s="4"/>
      <c r="R43" s="4"/>
      <c r="S43" s="4"/>
      <c r="T43" s="4"/>
    </row>
    <row r="44" spans="1:20" ht="15" customHeight="1" x14ac:dyDescent="0.2">
      <c r="A44" s="3"/>
      <c r="B44" s="3"/>
      <c r="C44" s="3"/>
      <c r="D44" s="3"/>
      <c r="E44" s="3"/>
      <c r="F44" s="3"/>
      <c r="G44" s="3"/>
      <c r="H44" s="3"/>
      <c r="I44" s="3"/>
      <c r="J44" s="3"/>
      <c r="K44" s="3"/>
      <c r="L44" s="3"/>
      <c r="M44" s="3"/>
      <c r="N44" s="3"/>
      <c r="O44" s="3"/>
      <c r="P44" s="3"/>
      <c r="Q44" s="3"/>
      <c r="R44" s="3"/>
      <c r="S44" s="3"/>
      <c r="T44" s="3"/>
    </row>
    <row r="45" spans="1:20" ht="15" customHeight="1" x14ac:dyDescent="0.2">
      <c r="A45" s="4"/>
      <c r="B45" s="4"/>
      <c r="C45" s="4"/>
      <c r="D45" s="4"/>
      <c r="E45" s="4"/>
      <c r="F45" s="4"/>
      <c r="G45" s="4"/>
      <c r="H45" s="4"/>
      <c r="I45" s="4"/>
      <c r="J45" s="4"/>
      <c r="K45" s="4"/>
      <c r="L45" s="4"/>
      <c r="M45" s="4"/>
      <c r="N45" s="4"/>
      <c r="O45" s="4"/>
      <c r="P45" s="4"/>
      <c r="Q45" s="4"/>
      <c r="R45" s="4"/>
      <c r="S45" s="4"/>
      <c r="T45" s="4"/>
    </row>
    <row r="46" spans="1:20" ht="15" customHeight="1" x14ac:dyDescent="0.2">
      <c r="A46" s="3"/>
      <c r="B46" s="3"/>
      <c r="C46" s="3"/>
      <c r="D46" s="3"/>
      <c r="E46" s="3"/>
      <c r="F46" s="3"/>
      <c r="G46" s="3"/>
      <c r="H46" s="3"/>
      <c r="I46" s="3"/>
      <c r="J46" s="3"/>
      <c r="K46" s="3"/>
      <c r="L46" s="3"/>
      <c r="M46" s="3"/>
      <c r="N46" s="3"/>
      <c r="O46" s="3"/>
      <c r="P46" s="3"/>
      <c r="Q46" s="3"/>
      <c r="R46" s="3"/>
      <c r="S46" s="3"/>
      <c r="T46" s="3"/>
    </row>
    <row r="47" spans="1:20" ht="15" customHeight="1" x14ac:dyDescent="0.2">
      <c r="A47" s="4"/>
      <c r="B47" s="4"/>
      <c r="C47" s="4"/>
      <c r="D47" s="4"/>
      <c r="E47" s="4"/>
      <c r="F47" s="4"/>
      <c r="G47" s="4"/>
      <c r="H47" s="4"/>
      <c r="I47" s="4"/>
      <c r="J47" s="4"/>
      <c r="K47" s="4"/>
      <c r="L47" s="4"/>
      <c r="M47" s="4"/>
      <c r="N47" s="4"/>
      <c r="O47" s="4"/>
      <c r="P47" s="4"/>
      <c r="Q47" s="4"/>
      <c r="R47" s="4"/>
      <c r="S47" s="4"/>
      <c r="T47" s="4"/>
    </row>
    <row r="48" spans="1:20" ht="15" customHeight="1" x14ac:dyDescent="0.2">
      <c r="A48" s="3"/>
      <c r="B48" s="3"/>
      <c r="C48" s="3"/>
      <c r="D48" s="3"/>
      <c r="E48" s="3"/>
      <c r="F48" s="3"/>
      <c r="G48" s="3"/>
      <c r="H48" s="3"/>
      <c r="I48" s="3"/>
      <c r="J48" s="3"/>
      <c r="K48" s="3"/>
      <c r="L48" s="3"/>
      <c r="M48" s="3"/>
      <c r="N48" s="3"/>
      <c r="O48" s="3"/>
      <c r="P48" s="3"/>
      <c r="Q48" s="3"/>
      <c r="R48" s="3"/>
      <c r="S48" s="3"/>
      <c r="T48" s="3"/>
    </row>
    <row r="49" spans="1:20" ht="15" customHeight="1" x14ac:dyDescent="0.2">
      <c r="A49" s="4"/>
      <c r="B49" s="4"/>
      <c r="C49" s="4"/>
      <c r="D49" s="4"/>
      <c r="E49" s="4"/>
      <c r="F49" s="4"/>
      <c r="G49" s="4"/>
      <c r="H49" s="4"/>
      <c r="I49" s="4"/>
      <c r="J49" s="4"/>
      <c r="K49" s="4"/>
      <c r="L49" s="4"/>
      <c r="M49" s="4"/>
      <c r="N49" s="4"/>
      <c r="O49" s="4"/>
      <c r="P49" s="4"/>
      <c r="Q49" s="4"/>
      <c r="R49" s="4"/>
      <c r="S49" s="4"/>
      <c r="T49" s="4"/>
    </row>
    <row r="50" spans="1:20" ht="15" customHeight="1" x14ac:dyDescent="0.2">
      <c r="A50" s="3"/>
      <c r="B50" s="3"/>
      <c r="C50" s="3"/>
      <c r="D50" s="3"/>
      <c r="E50" s="3"/>
      <c r="F50" s="3"/>
      <c r="G50" s="3"/>
      <c r="H50" s="3"/>
      <c r="I50" s="3"/>
      <c r="J50" s="3"/>
      <c r="K50" s="3"/>
      <c r="L50" s="3"/>
      <c r="M50" s="3"/>
      <c r="N50" s="3"/>
      <c r="O50" s="3"/>
      <c r="P50" s="3"/>
      <c r="Q50" s="3"/>
      <c r="R50" s="3"/>
      <c r="S50" s="3"/>
      <c r="T50" s="3"/>
    </row>
  </sheetData>
  <mergeCells count="2">
    <mergeCell ref="A2:H2"/>
    <mergeCell ref="A1:H1"/>
  </mergeCells>
  <dataValidations count="6">
    <dataValidation type="list" allowBlank="1" errorTitle="Invalid entry" error="Value not in list" sqref="F5:F500" xr:uid="{00000000-0002-0000-0400-000000000000}">
      <formula1>"Champion,Economic Buyer,Primary User,Head of Payments,Risk and Compliance,Influencer,Other"</formula1>
      <formula2>0</formula2>
    </dataValidation>
    <dataValidation type="list" allowBlank="1" errorTitle="Invalid entry" error="Value not in list" sqref="H5:H500" xr:uid="{00000000-0002-0000-0400-000001000000}">
      <formula1>"Unverified,Verified (MX),Verified (test send),Failed,Bounced"</formula1>
      <formula2>0</formula2>
    </dataValidation>
    <dataValidation type="list" allowBlank="1" errorTitle="Invalid entry" error="Value not in list" sqref="O5:O500" xr:uid="{00000000-0002-0000-0400-000002000000}">
      <formula1>"Pillar 1: Launch faster,Pillar 2: Focus on customer value,Pillar 3: Experiences that delight,Pillar 4: Security and resilience,Pillar 5: Efficient program management"</formula1>
      <formula2>0</formula2>
    </dataValidation>
    <dataValidation type="list" allowBlank="1" errorTitle="Invalid entry" error="Value not in list" sqref="P5:P500" xr:uid="{00000000-0002-0000-0400-000003000000}">
      <formula1>"Not started,In Sequence,Completed,Replied,Bounced,Unsubscribed,Suppressed"</formula1>
      <formula2>0</formula2>
    </dataValidation>
    <dataValidation type="list" allowBlank="1" errorTitle="Invalid entry" error="Value not in list" sqref="Q5:Q500" xr:uid="{00000000-0002-0000-0400-000004000000}">
      <formula1>"None,Positive,Objection,Not-Now,Not-Interested,Unsubscribe,Bounce"</formula1>
      <formula2>0</formula2>
    </dataValidation>
    <dataValidation type="list" allowBlank="1" errorTitle="Invalid entry" error="Value not in list" sqref="S5:S500" xr:uid="{00000000-0002-0000-0400-000005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4"/>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5" x14ac:dyDescent="0.2"/>
  <cols>
    <col min="1" max="2" width="12" customWidth="1"/>
    <col min="3" max="3" width="26" customWidth="1"/>
    <col min="4" max="4" width="14" customWidth="1"/>
    <col min="5" max="5" width="50" customWidth="1"/>
    <col min="6" max="6" width="40" customWidth="1"/>
    <col min="7" max="7" width="12" customWidth="1"/>
    <col min="8" max="8" width="40" customWidth="1"/>
    <col min="9" max="10" width="14" customWidth="1"/>
  </cols>
  <sheetData>
    <row r="1" spans="1:10" ht="27.75" customHeight="1" x14ac:dyDescent="0.3">
      <c r="A1" s="20" t="s">
        <v>757</v>
      </c>
      <c r="B1" s="21"/>
      <c r="C1" s="21"/>
      <c r="D1" s="21"/>
      <c r="E1" s="21"/>
      <c r="F1" s="21"/>
    </row>
    <row r="2" spans="1:10" ht="15" customHeight="1" x14ac:dyDescent="0.2">
      <c r="A2" s="22" t="s">
        <v>758</v>
      </c>
      <c r="B2" s="21"/>
      <c r="C2" s="21"/>
      <c r="D2" s="21"/>
      <c r="E2" s="21"/>
      <c r="F2" s="21"/>
    </row>
    <row r="4" spans="1:10" ht="27.75" customHeight="1" x14ac:dyDescent="0.2">
      <c r="A4" s="2" t="s">
        <v>759</v>
      </c>
      <c r="B4" s="2" t="s">
        <v>2</v>
      </c>
      <c r="C4" s="2" t="s">
        <v>760</v>
      </c>
      <c r="D4" s="2" t="s">
        <v>761</v>
      </c>
      <c r="E4" s="2" t="s">
        <v>585</v>
      </c>
      <c r="F4" s="2" t="s">
        <v>762</v>
      </c>
      <c r="G4" s="2" t="s">
        <v>763</v>
      </c>
      <c r="H4" s="2" t="s">
        <v>764</v>
      </c>
      <c r="I4" s="2" t="s">
        <v>40</v>
      </c>
      <c r="J4" s="2" t="s">
        <v>41</v>
      </c>
    </row>
    <row r="5" spans="1:10" ht="15" customHeight="1" x14ac:dyDescent="0.2">
      <c r="A5" s="4" t="s">
        <v>765</v>
      </c>
      <c r="B5" s="4" t="s">
        <v>45</v>
      </c>
      <c r="C5" s="4" t="s">
        <v>766</v>
      </c>
      <c r="D5" s="5">
        <v>46183</v>
      </c>
      <c r="E5" s="4" t="s">
        <v>767</v>
      </c>
      <c r="F5" s="4" t="s">
        <v>768</v>
      </c>
      <c r="G5" s="4" t="s">
        <v>769</v>
      </c>
      <c r="H5" s="4" t="s">
        <v>770</v>
      </c>
      <c r="I5" s="4" t="s">
        <v>56</v>
      </c>
      <c r="J5" s="4"/>
    </row>
    <row r="6" spans="1:10" ht="15" customHeight="1" x14ac:dyDescent="0.2">
      <c r="A6" s="3" t="s">
        <v>771</v>
      </c>
      <c r="B6" s="3" t="s">
        <v>45</v>
      </c>
      <c r="C6" s="3" t="s">
        <v>772</v>
      </c>
      <c r="D6" s="7">
        <v>46188</v>
      </c>
      <c r="E6" s="3" t="s">
        <v>773</v>
      </c>
      <c r="F6" s="3" t="s">
        <v>774</v>
      </c>
      <c r="G6" s="3" t="s">
        <v>775</v>
      </c>
      <c r="H6" s="3" t="s">
        <v>770</v>
      </c>
      <c r="I6" s="3" t="s">
        <v>56</v>
      </c>
      <c r="J6" s="3"/>
    </row>
    <row r="7" spans="1:10" ht="15" customHeight="1" x14ac:dyDescent="0.2">
      <c r="A7" s="4" t="s">
        <v>776</v>
      </c>
      <c r="B7" s="4" t="s">
        <v>64</v>
      </c>
      <c r="C7" s="4" t="s">
        <v>772</v>
      </c>
      <c r="D7" s="5">
        <v>46096</v>
      </c>
      <c r="E7" s="4" t="s">
        <v>777</v>
      </c>
      <c r="F7" s="4" t="s">
        <v>778</v>
      </c>
      <c r="G7" s="4" t="s">
        <v>769</v>
      </c>
      <c r="H7" s="4" t="s">
        <v>770</v>
      </c>
      <c r="I7" s="4" t="s">
        <v>56</v>
      </c>
      <c r="J7" s="4"/>
    </row>
    <row r="8" spans="1:10" ht="15" customHeight="1" x14ac:dyDescent="0.2">
      <c r="A8" s="3" t="s">
        <v>779</v>
      </c>
      <c r="B8" s="3" t="s">
        <v>64</v>
      </c>
      <c r="C8" s="3" t="s">
        <v>780</v>
      </c>
      <c r="D8" s="7">
        <v>46096</v>
      </c>
      <c r="E8" s="3" t="s">
        <v>781</v>
      </c>
      <c r="F8" s="3" t="s">
        <v>782</v>
      </c>
      <c r="G8" s="3" t="s">
        <v>775</v>
      </c>
      <c r="H8" s="3" t="s">
        <v>770</v>
      </c>
      <c r="I8" s="3" t="s">
        <v>56</v>
      </c>
      <c r="J8" s="3"/>
    </row>
    <row r="9" spans="1:10" ht="15" customHeight="1" x14ac:dyDescent="0.2">
      <c r="A9" s="4" t="s">
        <v>783</v>
      </c>
      <c r="B9" s="4" t="s">
        <v>64</v>
      </c>
      <c r="C9" s="4" t="s">
        <v>780</v>
      </c>
      <c r="D9" s="5">
        <v>46142</v>
      </c>
      <c r="E9" s="4" t="s">
        <v>784</v>
      </c>
      <c r="F9" s="4" t="s">
        <v>782</v>
      </c>
      <c r="G9" s="4" t="s">
        <v>775</v>
      </c>
      <c r="H9" s="4" t="s">
        <v>770</v>
      </c>
      <c r="I9" s="4" t="s">
        <v>56</v>
      </c>
      <c r="J9" s="4"/>
    </row>
    <row r="10" spans="1:10" ht="15" customHeight="1" x14ac:dyDescent="0.2">
      <c r="A10" s="3" t="s">
        <v>785</v>
      </c>
      <c r="B10" s="3" t="s">
        <v>74</v>
      </c>
      <c r="C10" s="3" t="s">
        <v>780</v>
      </c>
      <c r="D10" s="7">
        <v>46068</v>
      </c>
      <c r="E10" s="3" t="s">
        <v>786</v>
      </c>
      <c r="F10" s="3" t="s">
        <v>787</v>
      </c>
      <c r="G10" s="3" t="s">
        <v>769</v>
      </c>
      <c r="H10" s="3" t="s">
        <v>770</v>
      </c>
      <c r="I10" s="3" t="s">
        <v>56</v>
      </c>
      <c r="J10" s="3"/>
    </row>
    <row r="11" spans="1:10" ht="15" customHeight="1" x14ac:dyDescent="0.2">
      <c r="A11" s="4" t="s">
        <v>788</v>
      </c>
      <c r="B11" s="4" t="s">
        <v>74</v>
      </c>
      <c r="C11" s="4" t="s">
        <v>789</v>
      </c>
      <c r="D11" s="5">
        <v>46082</v>
      </c>
      <c r="E11" s="4" t="s">
        <v>790</v>
      </c>
      <c r="F11" s="4" t="s">
        <v>791</v>
      </c>
      <c r="G11" s="4" t="s">
        <v>775</v>
      </c>
      <c r="H11" s="4" t="s">
        <v>770</v>
      </c>
      <c r="I11" s="4" t="s">
        <v>56</v>
      </c>
      <c r="J11" s="4"/>
    </row>
    <row r="12" spans="1:10" ht="15" customHeight="1" x14ac:dyDescent="0.2">
      <c r="A12" s="3" t="s">
        <v>792</v>
      </c>
      <c r="B12" s="3" t="s">
        <v>85</v>
      </c>
      <c r="C12" s="3" t="s">
        <v>780</v>
      </c>
      <c r="D12" s="7">
        <v>45858</v>
      </c>
      <c r="E12" s="3" t="s">
        <v>793</v>
      </c>
      <c r="F12" s="3" t="s">
        <v>794</v>
      </c>
      <c r="G12" s="3" t="s">
        <v>769</v>
      </c>
      <c r="H12" s="3" t="s">
        <v>770</v>
      </c>
      <c r="I12" s="3" t="s">
        <v>56</v>
      </c>
      <c r="J12" s="3"/>
    </row>
    <row r="13" spans="1:10" ht="15" customHeight="1" x14ac:dyDescent="0.2">
      <c r="A13" s="4" t="s">
        <v>795</v>
      </c>
      <c r="B13" s="4" t="s">
        <v>85</v>
      </c>
      <c r="C13" s="4" t="s">
        <v>766</v>
      </c>
      <c r="D13" s="5">
        <v>45703</v>
      </c>
      <c r="E13" s="4" t="s">
        <v>796</v>
      </c>
      <c r="F13" s="4" t="s">
        <v>797</v>
      </c>
      <c r="G13" s="4" t="s">
        <v>769</v>
      </c>
      <c r="H13" s="4" t="s">
        <v>798</v>
      </c>
      <c r="I13" s="4" t="s">
        <v>56</v>
      </c>
      <c r="J13" s="4"/>
    </row>
    <row r="14" spans="1:10" ht="15" customHeight="1" x14ac:dyDescent="0.2">
      <c r="A14" s="3" t="s">
        <v>799</v>
      </c>
      <c r="B14" s="3" t="s">
        <v>93</v>
      </c>
      <c r="C14" s="3" t="s">
        <v>780</v>
      </c>
      <c r="D14" s="7">
        <v>46188</v>
      </c>
      <c r="E14" s="3" t="s">
        <v>800</v>
      </c>
      <c r="F14" s="3" t="s">
        <v>801</v>
      </c>
      <c r="G14" s="3" t="s">
        <v>802</v>
      </c>
      <c r="H14" s="3" t="s">
        <v>770</v>
      </c>
      <c r="I14" s="3" t="s">
        <v>56</v>
      </c>
      <c r="J14" s="3"/>
    </row>
    <row r="15" spans="1:10" ht="15" customHeight="1" x14ac:dyDescent="0.2">
      <c r="A15" s="4" t="s">
        <v>803</v>
      </c>
      <c r="B15" s="4" t="s">
        <v>101</v>
      </c>
      <c r="C15" s="4" t="s">
        <v>766</v>
      </c>
      <c r="D15" s="5">
        <v>45962</v>
      </c>
      <c r="E15" s="4" t="s">
        <v>804</v>
      </c>
      <c r="F15" s="4" t="s">
        <v>805</v>
      </c>
      <c r="G15" s="4" t="s">
        <v>769</v>
      </c>
      <c r="H15" s="4" t="s">
        <v>770</v>
      </c>
      <c r="I15" s="4" t="s">
        <v>56</v>
      </c>
      <c r="J15" s="4"/>
    </row>
    <row r="16" spans="1:10" ht="15" customHeight="1" x14ac:dyDescent="0.2">
      <c r="A16" s="3" t="s">
        <v>806</v>
      </c>
      <c r="B16" s="3" t="s">
        <v>112</v>
      </c>
      <c r="C16" s="3" t="s">
        <v>789</v>
      </c>
      <c r="D16" s="7">
        <v>45853</v>
      </c>
      <c r="E16" s="3" t="s">
        <v>807</v>
      </c>
      <c r="F16" s="3" t="s">
        <v>808</v>
      </c>
      <c r="G16" s="3" t="s">
        <v>775</v>
      </c>
      <c r="H16" s="3" t="s">
        <v>770</v>
      </c>
      <c r="I16" s="3" t="s">
        <v>56</v>
      </c>
      <c r="J16" s="3"/>
    </row>
    <row r="17" spans="1:10" ht="15" customHeight="1" x14ac:dyDescent="0.2">
      <c r="A17" s="4" t="s">
        <v>809</v>
      </c>
      <c r="B17" s="4" t="s">
        <v>123</v>
      </c>
      <c r="C17" s="4" t="s">
        <v>780</v>
      </c>
      <c r="D17" s="5">
        <v>45838</v>
      </c>
      <c r="E17" s="4" t="s">
        <v>810</v>
      </c>
      <c r="F17" s="4" t="s">
        <v>811</v>
      </c>
      <c r="G17" s="4" t="s">
        <v>775</v>
      </c>
      <c r="H17" s="4" t="s">
        <v>812</v>
      </c>
      <c r="I17" s="4" t="s">
        <v>56</v>
      </c>
      <c r="J17" s="4"/>
    </row>
    <row r="18" spans="1:10" ht="15" customHeight="1" x14ac:dyDescent="0.2">
      <c r="A18" s="3" t="s">
        <v>813</v>
      </c>
      <c r="B18" s="3" t="s">
        <v>123</v>
      </c>
      <c r="C18" s="3" t="s">
        <v>789</v>
      </c>
      <c r="D18" s="7">
        <v>45731</v>
      </c>
      <c r="E18" s="3" t="s">
        <v>814</v>
      </c>
      <c r="F18" s="3" t="s">
        <v>815</v>
      </c>
      <c r="G18" s="3" t="s">
        <v>769</v>
      </c>
      <c r="H18" s="3" t="s">
        <v>816</v>
      </c>
      <c r="I18" s="3" t="s">
        <v>56</v>
      </c>
      <c r="J18" s="3"/>
    </row>
    <row r="19" spans="1:10" ht="15" customHeight="1" x14ac:dyDescent="0.2">
      <c r="A19" s="4" t="s">
        <v>817</v>
      </c>
      <c r="B19" s="4" t="s">
        <v>126</v>
      </c>
      <c r="C19" s="4" t="s">
        <v>789</v>
      </c>
      <c r="D19" s="5">
        <v>45915</v>
      </c>
      <c r="E19" s="4" t="s">
        <v>818</v>
      </c>
      <c r="F19" s="4" t="s">
        <v>819</v>
      </c>
      <c r="G19" s="4" t="s">
        <v>769</v>
      </c>
      <c r="H19" s="4" t="s">
        <v>770</v>
      </c>
      <c r="I19" s="4" t="s">
        <v>56</v>
      </c>
      <c r="J19" s="4"/>
    </row>
    <row r="20" spans="1:10" ht="15" customHeight="1" x14ac:dyDescent="0.2">
      <c r="A20" s="3" t="s">
        <v>820</v>
      </c>
      <c r="B20" s="3" t="s">
        <v>126</v>
      </c>
      <c r="C20" s="3" t="s">
        <v>772</v>
      </c>
      <c r="D20" s="7">
        <v>45931</v>
      </c>
      <c r="E20" s="3" t="s">
        <v>821</v>
      </c>
      <c r="F20" s="3" t="s">
        <v>822</v>
      </c>
      <c r="G20" s="3" t="s">
        <v>769</v>
      </c>
      <c r="H20" s="3" t="s">
        <v>770</v>
      </c>
      <c r="I20" s="3" t="s">
        <v>56</v>
      </c>
      <c r="J20" s="3"/>
    </row>
    <row r="21" spans="1:10" ht="15" customHeight="1" x14ac:dyDescent="0.2">
      <c r="A21" s="4" t="s">
        <v>823</v>
      </c>
      <c r="B21" s="4" t="s">
        <v>132</v>
      </c>
      <c r="C21" s="4" t="s">
        <v>780</v>
      </c>
      <c r="D21" s="5">
        <v>46096</v>
      </c>
      <c r="E21" s="4" t="s">
        <v>824</v>
      </c>
      <c r="F21" s="4" t="s">
        <v>825</v>
      </c>
      <c r="G21" s="4" t="s">
        <v>775</v>
      </c>
      <c r="H21" s="4" t="s">
        <v>770</v>
      </c>
      <c r="I21" s="4" t="s">
        <v>56</v>
      </c>
      <c r="J21" s="4"/>
    </row>
    <row r="22" spans="1:10" ht="15" customHeight="1" x14ac:dyDescent="0.2">
      <c r="A22" s="3" t="s">
        <v>826</v>
      </c>
      <c r="B22" s="3" t="s">
        <v>132</v>
      </c>
      <c r="C22" s="3" t="s">
        <v>780</v>
      </c>
      <c r="D22" s="7">
        <v>45962</v>
      </c>
      <c r="E22" s="3" t="s">
        <v>827</v>
      </c>
      <c r="F22" s="3" t="s">
        <v>825</v>
      </c>
      <c r="G22" s="3" t="s">
        <v>802</v>
      </c>
      <c r="H22" s="3" t="s">
        <v>770</v>
      </c>
      <c r="I22" s="3" t="s">
        <v>56</v>
      </c>
      <c r="J22" s="3"/>
    </row>
    <row r="23" spans="1:10" ht="15" customHeight="1" x14ac:dyDescent="0.2">
      <c r="A23" s="4" t="s">
        <v>828</v>
      </c>
      <c r="B23" s="4" t="s">
        <v>141</v>
      </c>
      <c r="C23" s="4" t="s">
        <v>780</v>
      </c>
      <c r="D23" s="5">
        <v>45153</v>
      </c>
      <c r="E23" s="4" t="s">
        <v>829</v>
      </c>
      <c r="F23" s="4" t="s">
        <v>830</v>
      </c>
      <c r="G23" s="4" t="s">
        <v>775</v>
      </c>
      <c r="H23" s="4" t="s">
        <v>831</v>
      </c>
      <c r="I23" s="4" t="s">
        <v>56</v>
      </c>
      <c r="J23" s="4"/>
    </row>
    <row r="24" spans="1:10" ht="15" customHeight="1" x14ac:dyDescent="0.2">
      <c r="A24" s="3" t="s">
        <v>832</v>
      </c>
      <c r="B24" s="3" t="s">
        <v>149</v>
      </c>
      <c r="C24" s="3" t="s">
        <v>833</v>
      </c>
      <c r="D24" s="7">
        <v>45853</v>
      </c>
      <c r="E24" s="3" t="s">
        <v>834</v>
      </c>
      <c r="F24" s="3" t="s">
        <v>835</v>
      </c>
      <c r="G24" s="3" t="s">
        <v>769</v>
      </c>
      <c r="H24" s="3" t="s">
        <v>770</v>
      </c>
      <c r="I24" s="3" t="s">
        <v>56</v>
      </c>
      <c r="J24" s="3"/>
    </row>
    <row r="25" spans="1:10" ht="15" customHeight="1" x14ac:dyDescent="0.2">
      <c r="A25" s="4" t="s">
        <v>836</v>
      </c>
      <c r="B25" s="4" t="s">
        <v>149</v>
      </c>
      <c r="C25" s="4" t="s">
        <v>780</v>
      </c>
      <c r="D25" s="5">
        <v>46127</v>
      </c>
      <c r="E25" s="4" t="s">
        <v>837</v>
      </c>
      <c r="F25" s="4" t="s">
        <v>835</v>
      </c>
      <c r="G25" s="4" t="s">
        <v>775</v>
      </c>
      <c r="H25" s="4" t="s">
        <v>770</v>
      </c>
      <c r="I25" s="4" t="s">
        <v>56</v>
      </c>
      <c r="J25" s="4"/>
    </row>
    <row r="26" spans="1:10" ht="15" customHeight="1" x14ac:dyDescent="0.2">
      <c r="A26" s="3" t="s">
        <v>838</v>
      </c>
      <c r="B26" s="3" t="s">
        <v>153</v>
      </c>
      <c r="C26" s="3" t="s">
        <v>780</v>
      </c>
      <c r="D26" s="7">
        <v>45915</v>
      </c>
      <c r="E26" s="3" t="s">
        <v>839</v>
      </c>
      <c r="F26" s="3" t="s">
        <v>840</v>
      </c>
      <c r="G26" s="3" t="s">
        <v>769</v>
      </c>
      <c r="H26" s="3" t="s">
        <v>770</v>
      </c>
      <c r="I26" s="3" t="s">
        <v>56</v>
      </c>
      <c r="J26" s="3"/>
    </row>
    <row r="27" spans="1:10" ht="15" customHeight="1" x14ac:dyDescent="0.2">
      <c r="A27" s="4" t="s">
        <v>841</v>
      </c>
      <c r="B27" s="4" t="s">
        <v>164</v>
      </c>
      <c r="C27" s="4" t="s">
        <v>833</v>
      </c>
      <c r="D27" s="5">
        <v>46191</v>
      </c>
      <c r="E27" s="4" t="s">
        <v>842</v>
      </c>
      <c r="F27" s="4" t="s">
        <v>843</v>
      </c>
      <c r="G27" s="4" t="s">
        <v>769</v>
      </c>
      <c r="H27" s="4" t="s">
        <v>770</v>
      </c>
      <c r="I27" s="4" t="s">
        <v>56</v>
      </c>
      <c r="J27" s="4"/>
    </row>
    <row r="28" spans="1:10" ht="15" customHeight="1" x14ac:dyDescent="0.2">
      <c r="A28" s="3" t="s">
        <v>844</v>
      </c>
      <c r="B28" s="3" t="s">
        <v>169</v>
      </c>
      <c r="C28" s="3" t="s">
        <v>833</v>
      </c>
      <c r="D28" s="7">
        <v>46043</v>
      </c>
      <c r="E28" s="3" t="s">
        <v>845</v>
      </c>
      <c r="F28" s="3" t="s">
        <v>846</v>
      </c>
      <c r="G28" s="3" t="s">
        <v>769</v>
      </c>
      <c r="H28" s="3" t="s">
        <v>770</v>
      </c>
      <c r="I28" s="3" t="s">
        <v>56</v>
      </c>
      <c r="J28" s="3"/>
    </row>
    <row r="29" spans="1:10" ht="15" customHeight="1" x14ac:dyDescent="0.2">
      <c r="A29" s="4" t="s">
        <v>847</v>
      </c>
      <c r="B29" s="4" t="s">
        <v>174</v>
      </c>
      <c r="C29" s="4" t="s">
        <v>789</v>
      </c>
      <c r="D29" s="5">
        <v>45809</v>
      </c>
      <c r="E29" s="4" t="s">
        <v>848</v>
      </c>
      <c r="F29" s="4" t="s">
        <v>849</v>
      </c>
      <c r="G29" s="4" t="s">
        <v>775</v>
      </c>
      <c r="H29" s="4" t="s">
        <v>850</v>
      </c>
      <c r="I29" s="4" t="s">
        <v>56</v>
      </c>
      <c r="J29" s="4"/>
    </row>
    <row r="30" spans="1:10" ht="15" customHeight="1" x14ac:dyDescent="0.2">
      <c r="A30" s="3" t="s">
        <v>851</v>
      </c>
      <c r="B30" s="3" t="s">
        <v>174</v>
      </c>
      <c r="C30" s="3" t="s">
        <v>780</v>
      </c>
      <c r="D30" s="7">
        <v>46082</v>
      </c>
      <c r="E30" s="3" t="s">
        <v>852</v>
      </c>
      <c r="F30" s="3" t="s">
        <v>853</v>
      </c>
      <c r="G30" s="3" t="s">
        <v>775</v>
      </c>
      <c r="H30" s="3" t="s">
        <v>770</v>
      </c>
      <c r="I30" s="3" t="s">
        <v>56</v>
      </c>
      <c r="J30" s="3"/>
    </row>
    <row r="31" spans="1:10" ht="15" customHeight="1" x14ac:dyDescent="0.2">
      <c r="A31" s="4" t="s">
        <v>854</v>
      </c>
      <c r="B31" s="4" t="s">
        <v>189</v>
      </c>
      <c r="C31" s="4" t="s">
        <v>789</v>
      </c>
      <c r="D31" s="5">
        <v>46143</v>
      </c>
      <c r="E31" s="4" t="s">
        <v>855</v>
      </c>
      <c r="F31" s="4" t="s">
        <v>856</v>
      </c>
      <c r="G31" s="4" t="s">
        <v>775</v>
      </c>
      <c r="H31" s="4" t="s">
        <v>770</v>
      </c>
      <c r="I31" s="4" t="s">
        <v>56</v>
      </c>
      <c r="J31" s="4"/>
    </row>
    <row r="32" spans="1:10" ht="15" customHeight="1" x14ac:dyDescent="0.2">
      <c r="A32" s="3" t="s">
        <v>857</v>
      </c>
      <c r="B32" s="3" t="s">
        <v>189</v>
      </c>
      <c r="C32" s="3" t="s">
        <v>833</v>
      </c>
      <c r="D32" s="7">
        <v>46204</v>
      </c>
      <c r="E32" s="3" t="s">
        <v>858</v>
      </c>
      <c r="F32" s="3" t="s">
        <v>859</v>
      </c>
      <c r="G32" s="3" t="s">
        <v>769</v>
      </c>
      <c r="H32" s="3" t="s">
        <v>770</v>
      </c>
      <c r="I32" s="3" t="s">
        <v>56</v>
      </c>
      <c r="J32" s="3"/>
    </row>
    <row r="33" spans="1:10" ht="15" customHeight="1" x14ac:dyDescent="0.2">
      <c r="A33" s="4" t="s">
        <v>860</v>
      </c>
      <c r="B33" s="4" t="s">
        <v>192</v>
      </c>
      <c r="C33" s="4" t="s">
        <v>833</v>
      </c>
      <c r="D33" s="5">
        <v>46043</v>
      </c>
      <c r="E33" s="4" t="s">
        <v>861</v>
      </c>
      <c r="F33" s="4" t="s">
        <v>862</v>
      </c>
      <c r="G33" s="4" t="s">
        <v>769</v>
      </c>
      <c r="H33" s="4" t="s">
        <v>863</v>
      </c>
      <c r="I33" s="4" t="s">
        <v>56</v>
      </c>
      <c r="J33" s="4"/>
    </row>
    <row r="34" spans="1:10" ht="15" customHeight="1" x14ac:dyDescent="0.2">
      <c r="A34" s="3" t="s">
        <v>864</v>
      </c>
      <c r="B34" s="3" t="s">
        <v>198</v>
      </c>
      <c r="C34" s="3" t="s">
        <v>833</v>
      </c>
      <c r="D34" s="7">
        <v>46043</v>
      </c>
      <c r="E34" s="3" t="s">
        <v>865</v>
      </c>
      <c r="F34" s="3" t="s">
        <v>866</v>
      </c>
      <c r="G34" s="3" t="s">
        <v>769</v>
      </c>
      <c r="H34" s="3" t="s">
        <v>863</v>
      </c>
      <c r="I34" s="3" t="s">
        <v>56</v>
      </c>
      <c r="J34" s="3"/>
    </row>
    <row r="35" spans="1:10" ht="15" customHeight="1" x14ac:dyDescent="0.2">
      <c r="A35" s="4" t="s">
        <v>867</v>
      </c>
      <c r="B35" s="4" t="s">
        <v>201</v>
      </c>
      <c r="C35" s="4" t="s">
        <v>789</v>
      </c>
      <c r="D35" s="5">
        <v>45355</v>
      </c>
      <c r="E35" s="4" t="s">
        <v>868</v>
      </c>
      <c r="F35" s="4" t="s">
        <v>869</v>
      </c>
      <c r="G35" s="4" t="s">
        <v>775</v>
      </c>
      <c r="H35" s="4" t="s">
        <v>870</v>
      </c>
      <c r="I35" s="4" t="s">
        <v>56</v>
      </c>
      <c r="J35" s="4"/>
    </row>
    <row r="36" spans="1:10" ht="15" customHeight="1" x14ac:dyDescent="0.2">
      <c r="A36" s="3" t="s">
        <v>871</v>
      </c>
      <c r="B36" s="3" t="s">
        <v>210</v>
      </c>
      <c r="C36" s="3" t="s">
        <v>780</v>
      </c>
      <c r="D36" s="7">
        <v>45566</v>
      </c>
      <c r="E36" s="3" t="s">
        <v>872</v>
      </c>
      <c r="F36" s="3" t="s">
        <v>873</v>
      </c>
      <c r="G36" s="3" t="s">
        <v>769</v>
      </c>
      <c r="H36" s="3" t="s">
        <v>874</v>
      </c>
      <c r="I36" s="3" t="s">
        <v>56</v>
      </c>
      <c r="J36" s="3"/>
    </row>
    <row r="37" spans="1:10" ht="15" customHeight="1" x14ac:dyDescent="0.2">
      <c r="A37" s="4" t="s">
        <v>875</v>
      </c>
      <c r="B37" s="4" t="s">
        <v>210</v>
      </c>
      <c r="C37" s="4" t="s">
        <v>772</v>
      </c>
      <c r="D37" s="5">
        <v>45717</v>
      </c>
      <c r="E37" s="4" t="s">
        <v>876</v>
      </c>
      <c r="F37" s="4" t="s">
        <v>877</v>
      </c>
      <c r="G37" s="4" t="s">
        <v>775</v>
      </c>
      <c r="H37" s="4" t="s">
        <v>816</v>
      </c>
      <c r="I37" s="4" t="s">
        <v>56</v>
      </c>
      <c r="J37" s="4"/>
    </row>
    <row r="38" spans="1:10" ht="15" customHeight="1" x14ac:dyDescent="0.2">
      <c r="A38" s="3" t="s">
        <v>878</v>
      </c>
      <c r="B38" s="3" t="s">
        <v>213</v>
      </c>
      <c r="C38" s="3" t="s">
        <v>780</v>
      </c>
      <c r="D38" s="7">
        <v>45153</v>
      </c>
      <c r="E38" s="3" t="s">
        <v>879</v>
      </c>
      <c r="F38" s="3" t="s">
        <v>880</v>
      </c>
      <c r="G38" s="3" t="s">
        <v>775</v>
      </c>
      <c r="H38" s="3" t="s">
        <v>831</v>
      </c>
      <c r="I38" s="3" t="s">
        <v>56</v>
      </c>
      <c r="J38" s="3"/>
    </row>
    <row r="39" spans="1:10" ht="15" customHeight="1" x14ac:dyDescent="0.2">
      <c r="A39" s="4" t="s">
        <v>881</v>
      </c>
      <c r="B39" s="4" t="s">
        <v>220</v>
      </c>
      <c r="C39" s="4" t="s">
        <v>833</v>
      </c>
      <c r="D39" s="5">
        <v>45915</v>
      </c>
      <c r="E39" s="4" t="s">
        <v>882</v>
      </c>
      <c r="F39" s="4" t="s">
        <v>883</v>
      </c>
      <c r="G39" s="4" t="s">
        <v>769</v>
      </c>
      <c r="H39" s="4" t="s">
        <v>770</v>
      </c>
      <c r="I39" s="4" t="s">
        <v>56</v>
      </c>
      <c r="J39" s="4"/>
    </row>
    <row r="40" spans="1:10" ht="15" customHeight="1" x14ac:dyDescent="0.2">
      <c r="A40" s="3" t="s">
        <v>884</v>
      </c>
      <c r="B40" s="3" t="s">
        <v>223</v>
      </c>
      <c r="C40" s="3" t="s">
        <v>780</v>
      </c>
      <c r="D40" s="7">
        <v>45566</v>
      </c>
      <c r="E40" s="3" t="s">
        <v>885</v>
      </c>
      <c r="F40" s="3" t="s">
        <v>886</v>
      </c>
      <c r="G40" s="3" t="s">
        <v>775</v>
      </c>
      <c r="H40" s="3" t="s">
        <v>874</v>
      </c>
      <c r="I40" s="3" t="s">
        <v>56</v>
      </c>
      <c r="J40" s="3"/>
    </row>
    <row r="41" spans="1:10" ht="15" customHeight="1" x14ac:dyDescent="0.2">
      <c r="A41" s="4" t="s">
        <v>887</v>
      </c>
      <c r="B41" s="4" t="s">
        <v>232</v>
      </c>
      <c r="C41" s="4" t="s">
        <v>833</v>
      </c>
      <c r="D41" s="5">
        <v>46064</v>
      </c>
      <c r="E41" s="4" t="s">
        <v>888</v>
      </c>
      <c r="F41" s="4" t="s">
        <v>889</v>
      </c>
      <c r="G41" s="4" t="s">
        <v>769</v>
      </c>
      <c r="H41" s="4" t="s">
        <v>770</v>
      </c>
      <c r="I41" s="4" t="s">
        <v>56</v>
      </c>
      <c r="J41" s="4"/>
    </row>
    <row r="42" spans="1:10" ht="15" customHeight="1" x14ac:dyDescent="0.2">
      <c r="A42" s="3" t="s">
        <v>890</v>
      </c>
      <c r="B42" s="3" t="s">
        <v>236</v>
      </c>
      <c r="C42" s="3" t="s">
        <v>833</v>
      </c>
      <c r="D42" s="7">
        <v>46054</v>
      </c>
      <c r="E42" s="3" t="s">
        <v>891</v>
      </c>
      <c r="F42" s="3" t="s">
        <v>889</v>
      </c>
      <c r="G42" s="3" t="s">
        <v>769</v>
      </c>
      <c r="H42" s="3" t="s">
        <v>770</v>
      </c>
      <c r="I42" s="3" t="s">
        <v>56</v>
      </c>
      <c r="J42" s="3"/>
    </row>
    <row r="43" spans="1:10" ht="15" customHeight="1" x14ac:dyDescent="0.2">
      <c r="A43" s="4" t="s">
        <v>892</v>
      </c>
      <c r="B43" s="4" t="s">
        <v>245</v>
      </c>
      <c r="C43" s="4" t="s">
        <v>766</v>
      </c>
      <c r="D43" s="5">
        <v>45672</v>
      </c>
      <c r="E43" s="4" t="s">
        <v>893</v>
      </c>
      <c r="F43" s="4" t="s">
        <v>894</v>
      </c>
      <c r="G43" s="4" t="s">
        <v>769</v>
      </c>
      <c r="H43" s="4" t="s">
        <v>895</v>
      </c>
      <c r="I43" s="4" t="s">
        <v>56</v>
      </c>
      <c r="J43" s="4"/>
    </row>
    <row r="44" spans="1:10" ht="15" customHeight="1" x14ac:dyDescent="0.2">
      <c r="A44" s="3" t="s">
        <v>896</v>
      </c>
      <c r="B44" s="3" t="s">
        <v>245</v>
      </c>
      <c r="C44" s="3" t="s">
        <v>766</v>
      </c>
      <c r="D44" s="7">
        <v>45809</v>
      </c>
      <c r="E44" s="3" t="s">
        <v>897</v>
      </c>
      <c r="F44" s="3" t="s">
        <v>894</v>
      </c>
      <c r="G44" s="3" t="s">
        <v>769</v>
      </c>
      <c r="H44" s="3" t="s">
        <v>850</v>
      </c>
      <c r="I44" s="3" t="s">
        <v>56</v>
      </c>
      <c r="J44" s="3"/>
    </row>
    <row r="45" spans="1:10" ht="15" customHeight="1" x14ac:dyDescent="0.2">
      <c r="A45" s="4" t="s">
        <v>898</v>
      </c>
      <c r="B45" s="4" t="s">
        <v>249</v>
      </c>
      <c r="C45" s="4" t="s">
        <v>780</v>
      </c>
      <c r="D45" s="5">
        <v>45717</v>
      </c>
      <c r="E45" s="4" t="s">
        <v>899</v>
      </c>
      <c r="F45" s="4" t="s">
        <v>900</v>
      </c>
      <c r="G45" s="4" t="s">
        <v>775</v>
      </c>
      <c r="H45" s="4" t="s">
        <v>816</v>
      </c>
      <c r="I45" s="4" t="s">
        <v>56</v>
      </c>
      <c r="J45" s="4"/>
    </row>
    <row r="46" spans="1:10" ht="15" customHeight="1" x14ac:dyDescent="0.2">
      <c r="A46" s="3" t="s">
        <v>901</v>
      </c>
      <c r="B46" s="3" t="s">
        <v>260</v>
      </c>
      <c r="C46" s="3" t="s">
        <v>789</v>
      </c>
      <c r="D46" s="7">
        <v>45383</v>
      </c>
      <c r="E46" s="3" t="s">
        <v>902</v>
      </c>
      <c r="F46" s="3" t="s">
        <v>903</v>
      </c>
      <c r="G46" s="3" t="s">
        <v>769</v>
      </c>
      <c r="H46" s="3" t="s">
        <v>904</v>
      </c>
      <c r="I46" s="3" t="s">
        <v>56</v>
      </c>
      <c r="J46" s="3"/>
    </row>
    <row r="47" spans="1:10" ht="15" customHeight="1" x14ac:dyDescent="0.2">
      <c r="A47" s="4" t="s">
        <v>905</v>
      </c>
      <c r="B47" s="4" t="s">
        <v>265</v>
      </c>
      <c r="C47" s="4" t="s">
        <v>780</v>
      </c>
      <c r="D47" s="5">
        <v>45672</v>
      </c>
      <c r="E47" s="4" t="s">
        <v>906</v>
      </c>
      <c r="F47" s="4" t="s">
        <v>907</v>
      </c>
      <c r="G47" s="4" t="s">
        <v>769</v>
      </c>
      <c r="H47" s="4" t="s">
        <v>895</v>
      </c>
      <c r="I47" s="4" t="s">
        <v>56</v>
      </c>
      <c r="J47" s="4"/>
    </row>
    <row r="48" spans="1:10" ht="15" customHeight="1" x14ac:dyDescent="0.2">
      <c r="A48" s="3" t="s">
        <v>908</v>
      </c>
      <c r="B48" s="3" t="s">
        <v>268</v>
      </c>
      <c r="C48" s="3" t="s">
        <v>789</v>
      </c>
      <c r="D48" s="7">
        <v>46188</v>
      </c>
      <c r="E48" s="3" t="s">
        <v>909</v>
      </c>
      <c r="F48" s="3" t="s">
        <v>910</v>
      </c>
      <c r="G48" s="3" t="s">
        <v>769</v>
      </c>
      <c r="H48" s="3" t="s">
        <v>770</v>
      </c>
      <c r="I48" s="3" t="s">
        <v>56</v>
      </c>
      <c r="J48" s="3"/>
    </row>
    <row r="49" spans="1:10" ht="15" customHeight="1" x14ac:dyDescent="0.2">
      <c r="A49" s="4" t="s">
        <v>911</v>
      </c>
      <c r="B49" s="4" t="s">
        <v>272</v>
      </c>
      <c r="C49" s="4" t="s">
        <v>912</v>
      </c>
      <c r="D49" s="5">
        <v>46174</v>
      </c>
      <c r="E49" s="4" t="s">
        <v>913</v>
      </c>
      <c r="F49" s="4" t="s">
        <v>914</v>
      </c>
      <c r="G49" s="4" t="s">
        <v>769</v>
      </c>
      <c r="H49" s="4" t="s">
        <v>770</v>
      </c>
      <c r="I49" s="4" t="s">
        <v>56</v>
      </c>
      <c r="J49" s="4"/>
    </row>
    <row r="50" spans="1:10" ht="15" customHeight="1" x14ac:dyDescent="0.2">
      <c r="A50" s="3" t="s">
        <v>915</v>
      </c>
      <c r="B50" s="3" t="s">
        <v>276</v>
      </c>
      <c r="C50" s="3" t="s">
        <v>766</v>
      </c>
      <c r="D50" s="7">
        <v>45580</v>
      </c>
      <c r="E50" s="3" t="s">
        <v>916</v>
      </c>
      <c r="F50" s="3" t="s">
        <v>917</v>
      </c>
      <c r="G50" s="3" t="s">
        <v>769</v>
      </c>
      <c r="H50" s="3" t="s">
        <v>874</v>
      </c>
      <c r="I50" s="3" t="s">
        <v>56</v>
      </c>
      <c r="J50" s="3"/>
    </row>
    <row r="51" spans="1:10" ht="15" customHeight="1" x14ac:dyDescent="0.2">
      <c r="A51" s="4" t="s">
        <v>918</v>
      </c>
      <c r="B51" s="4" t="s">
        <v>279</v>
      </c>
      <c r="C51" s="4" t="s">
        <v>789</v>
      </c>
      <c r="D51" s="5">
        <v>45809</v>
      </c>
      <c r="E51" s="4" t="s">
        <v>919</v>
      </c>
      <c r="F51" s="4" t="s">
        <v>920</v>
      </c>
      <c r="G51" s="4" t="s">
        <v>775</v>
      </c>
      <c r="H51" s="4" t="s">
        <v>850</v>
      </c>
      <c r="I51" s="4" t="s">
        <v>56</v>
      </c>
      <c r="J51" s="4"/>
    </row>
    <row r="52" spans="1:10" ht="15" customHeight="1" x14ac:dyDescent="0.2">
      <c r="A52" s="3" t="s">
        <v>921</v>
      </c>
      <c r="B52" s="3" t="s">
        <v>285</v>
      </c>
      <c r="C52" s="3" t="s">
        <v>789</v>
      </c>
      <c r="D52" s="7">
        <v>46037</v>
      </c>
      <c r="E52" s="3" t="s">
        <v>922</v>
      </c>
      <c r="F52" s="3" t="s">
        <v>923</v>
      </c>
      <c r="G52" s="3" t="s">
        <v>775</v>
      </c>
      <c r="H52" s="3" t="s">
        <v>770</v>
      </c>
      <c r="I52" s="3" t="s">
        <v>56</v>
      </c>
      <c r="J52" s="3"/>
    </row>
    <row r="53" spans="1:10" ht="15" customHeight="1" x14ac:dyDescent="0.2">
      <c r="A53" s="4" t="s">
        <v>924</v>
      </c>
      <c r="B53" s="4" t="s">
        <v>288</v>
      </c>
      <c r="C53" s="4" t="s">
        <v>780</v>
      </c>
      <c r="D53" s="5">
        <v>45884</v>
      </c>
      <c r="E53" s="4" t="s">
        <v>925</v>
      </c>
      <c r="F53" s="4" t="s">
        <v>926</v>
      </c>
      <c r="G53" s="4" t="s">
        <v>769</v>
      </c>
      <c r="H53" s="4" t="s">
        <v>770</v>
      </c>
      <c r="I53" s="4" t="s">
        <v>56</v>
      </c>
      <c r="J53" s="4"/>
    </row>
    <row r="54" spans="1:10" ht="15" customHeight="1" x14ac:dyDescent="0.2">
      <c r="A54" s="3" t="s">
        <v>927</v>
      </c>
      <c r="B54" s="3" t="s">
        <v>288</v>
      </c>
      <c r="C54" s="3" t="s">
        <v>780</v>
      </c>
      <c r="D54" s="7">
        <v>46054</v>
      </c>
      <c r="E54" s="3" t="s">
        <v>928</v>
      </c>
      <c r="F54" s="3" t="s">
        <v>926</v>
      </c>
      <c r="G54" s="3" t="s">
        <v>769</v>
      </c>
      <c r="H54" s="3" t="s">
        <v>770</v>
      </c>
      <c r="I54" s="3" t="s">
        <v>56</v>
      </c>
      <c r="J54" s="3"/>
    </row>
    <row r="55" spans="1:10" ht="15" customHeight="1" x14ac:dyDescent="0.2">
      <c r="A55" s="4" t="s">
        <v>929</v>
      </c>
      <c r="B55" s="4" t="s">
        <v>291</v>
      </c>
      <c r="C55" s="4" t="s">
        <v>766</v>
      </c>
      <c r="D55" s="5">
        <v>45962</v>
      </c>
      <c r="E55" s="4" t="s">
        <v>930</v>
      </c>
      <c r="F55" s="4" t="s">
        <v>931</v>
      </c>
      <c r="G55" s="4" t="s">
        <v>769</v>
      </c>
      <c r="H55" s="4" t="s">
        <v>770</v>
      </c>
      <c r="I55" s="4" t="s">
        <v>56</v>
      </c>
      <c r="J55" s="4"/>
    </row>
    <row r="56" spans="1:10" ht="15" customHeight="1" x14ac:dyDescent="0.2">
      <c r="A56" s="3" t="s">
        <v>932</v>
      </c>
      <c r="B56" s="3" t="s">
        <v>294</v>
      </c>
      <c r="C56" s="3" t="s">
        <v>833</v>
      </c>
      <c r="D56" s="7">
        <v>46096</v>
      </c>
      <c r="E56" s="3" t="s">
        <v>933</v>
      </c>
      <c r="F56" s="3" t="s">
        <v>934</v>
      </c>
      <c r="G56" s="3" t="s">
        <v>769</v>
      </c>
      <c r="H56" s="3" t="s">
        <v>770</v>
      </c>
      <c r="I56" s="3" t="s">
        <v>56</v>
      </c>
      <c r="J56" s="3"/>
    </row>
    <row r="57" spans="1:10" ht="15" customHeight="1" x14ac:dyDescent="0.2">
      <c r="A57" s="4" t="s">
        <v>935</v>
      </c>
      <c r="B57" s="4" t="s">
        <v>297</v>
      </c>
      <c r="C57" s="4" t="s">
        <v>833</v>
      </c>
      <c r="D57" s="5">
        <v>46068</v>
      </c>
      <c r="E57" s="4" t="s">
        <v>936</v>
      </c>
      <c r="F57" s="4" t="s">
        <v>937</v>
      </c>
      <c r="G57" s="4" t="s">
        <v>769</v>
      </c>
      <c r="H57" s="4" t="s">
        <v>770</v>
      </c>
      <c r="I57" s="4" t="s">
        <v>56</v>
      </c>
      <c r="J57" s="4"/>
    </row>
    <row r="58" spans="1:10" ht="15" customHeight="1" x14ac:dyDescent="0.2">
      <c r="A58" s="3" t="s">
        <v>938</v>
      </c>
      <c r="B58" s="3" t="s">
        <v>301</v>
      </c>
      <c r="C58" s="3" t="s">
        <v>780</v>
      </c>
      <c r="D58" s="7">
        <v>46068</v>
      </c>
      <c r="E58" s="3" t="s">
        <v>939</v>
      </c>
      <c r="F58" s="3" t="s">
        <v>940</v>
      </c>
      <c r="G58" s="3" t="s">
        <v>775</v>
      </c>
      <c r="H58" s="3" t="s">
        <v>770</v>
      </c>
      <c r="I58" s="3" t="s">
        <v>56</v>
      </c>
      <c r="J58" s="3"/>
    </row>
    <row r="59" spans="1:10" ht="15" customHeight="1" x14ac:dyDescent="0.2">
      <c r="A59" s="4" t="s">
        <v>941</v>
      </c>
      <c r="B59" s="4" t="s">
        <v>307</v>
      </c>
      <c r="C59" s="4" t="s">
        <v>789</v>
      </c>
      <c r="D59" s="5">
        <v>46054</v>
      </c>
      <c r="E59" s="4" t="s">
        <v>942</v>
      </c>
      <c r="F59" s="4" t="s">
        <v>943</v>
      </c>
      <c r="G59" s="4" t="s">
        <v>775</v>
      </c>
      <c r="H59" s="4" t="s">
        <v>770</v>
      </c>
      <c r="I59" s="4" t="s">
        <v>56</v>
      </c>
      <c r="J59" s="4"/>
    </row>
    <row r="60" spans="1:10" ht="15" customHeight="1" x14ac:dyDescent="0.2">
      <c r="A60" s="3" t="s">
        <v>944</v>
      </c>
      <c r="B60" s="3" t="s">
        <v>310</v>
      </c>
      <c r="C60" s="3" t="s">
        <v>780</v>
      </c>
      <c r="D60" s="7">
        <v>45748</v>
      </c>
      <c r="E60" s="3" t="s">
        <v>945</v>
      </c>
      <c r="F60" s="3" t="s">
        <v>946</v>
      </c>
      <c r="G60" s="3" t="s">
        <v>775</v>
      </c>
      <c r="H60" s="3" t="s">
        <v>770</v>
      </c>
      <c r="I60" s="3" t="s">
        <v>56</v>
      </c>
      <c r="J60" s="3"/>
    </row>
    <row r="61" spans="1:10" ht="15" customHeight="1" x14ac:dyDescent="0.2">
      <c r="A61" s="4" t="s">
        <v>947</v>
      </c>
      <c r="B61" s="4" t="s">
        <v>320</v>
      </c>
      <c r="C61" s="4" t="s">
        <v>780</v>
      </c>
      <c r="D61" s="5">
        <v>45427</v>
      </c>
      <c r="E61" s="4" t="s">
        <v>948</v>
      </c>
      <c r="F61" s="4" t="s">
        <v>949</v>
      </c>
      <c r="G61" s="4" t="s">
        <v>775</v>
      </c>
      <c r="H61" s="4" t="s">
        <v>950</v>
      </c>
      <c r="I61" s="4" t="s">
        <v>56</v>
      </c>
      <c r="J61" s="4"/>
    </row>
    <row r="62" spans="1:10" ht="15" customHeight="1" x14ac:dyDescent="0.2">
      <c r="A62" s="3" t="s">
        <v>951</v>
      </c>
      <c r="B62" s="3" t="s">
        <v>327</v>
      </c>
      <c r="C62" s="3" t="s">
        <v>772</v>
      </c>
      <c r="D62" s="7">
        <v>46113</v>
      </c>
      <c r="E62" s="3" t="s">
        <v>952</v>
      </c>
      <c r="F62" s="3" t="s">
        <v>953</v>
      </c>
      <c r="G62" s="3" t="s">
        <v>775</v>
      </c>
      <c r="H62" s="3" t="s">
        <v>770</v>
      </c>
      <c r="I62" s="3" t="s">
        <v>56</v>
      </c>
      <c r="J62" s="3"/>
    </row>
    <row r="63" spans="1:10" ht="15" customHeight="1" x14ac:dyDescent="0.2">
      <c r="A63" s="4" t="s">
        <v>954</v>
      </c>
      <c r="B63" s="4" t="s">
        <v>332</v>
      </c>
      <c r="C63" s="4" t="s">
        <v>789</v>
      </c>
      <c r="D63" s="5">
        <v>45931</v>
      </c>
      <c r="E63" s="4" t="s">
        <v>955</v>
      </c>
      <c r="F63" s="4" t="s">
        <v>956</v>
      </c>
      <c r="G63" s="4" t="s">
        <v>775</v>
      </c>
      <c r="H63" s="4" t="s">
        <v>770</v>
      </c>
      <c r="I63" s="4" t="s">
        <v>56</v>
      </c>
      <c r="J63" s="4"/>
    </row>
    <row r="64" spans="1:10" ht="15" customHeight="1" x14ac:dyDescent="0.2">
      <c r="A64" s="3" t="s">
        <v>957</v>
      </c>
      <c r="B64" s="3" t="s">
        <v>335</v>
      </c>
      <c r="C64" s="3" t="s">
        <v>766</v>
      </c>
      <c r="D64" s="7">
        <v>45731</v>
      </c>
      <c r="E64" s="3" t="s">
        <v>958</v>
      </c>
      <c r="F64" s="3" t="s">
        <v>959</v>
      </c>
      <c r="G64" s="3" t="s">
        <v>769</v>
      </c>
      <c r="H64" s="3" t="s">
        <v>770</v>
      </c>
      <c r="I64" s="3" t="s">
        <v>56</v>
      </c>
      <c r="J64" s="3"/>
    </row>
    <row r="65" spans="1:10" ht="15" customHeight="1" x14ac:dyDescent="0.2">
      <c r="A65" s="4" t="s">
        <v>960</v>
      </c>
      <c r="B65" s="4" t="s">
        <v>335</v>
      </c>
      <c r="C65" s="4" t="s">
        <v>772</v>
      </c>
      <c r="D65" s="5">
        <v>45901</v>
      </c>
      <c r="E65" s="4" t="s">
        <v>961</v>
      </c>
      <c r="F65" s="4" t="s">
        <v>959</v>
      </c>
      <c r="G65" s="4" t="s">
        <v>775</v>
      </c>
      <c r="H65" s="4" t="s">
        <v>770</v>
      </c>
      <c r="I65" s="4" t="s">
        <v>56</v>
      </c>
      <c r="J65" s="4"/>
    </row>
    <row r="66" spans="1:10" ht="15" customHeight="1" x14ac:dyDescent="0.2">
      <c r="A66" s="3" t="s">
        <v>962</v>
      </c>
      <c r="B66" s="3" t="s">
        <v>338</v>
      </c>
      <c r="C66" s="3" t="s">
        <v>833</v>
      </c>
      <c r="D66" s="7">
        <v>46205</v>
      </c>
      <c r="E66" s="3" t="s">
        <v>963</v>
      </c>
      <c r="F66" s="3" t="s">
        <v>964</v>
      </c>
      <c r="G66" s="3" t="s">
        <v>769</v>
      </c>
      <c r="H66" s="3" t="s">
        <v>770</v>
      </c>
      <c r="I66" s="3" t="s">
        <v>56</v>
      </c>
      <c r="J66" s="3"/>
    </row>
    <row r="67" spans="1:10" ht="15" customHeight="1" x14ac:dyDescent="0.2">
      <c r="A67" s="4" t="s">
        <v>965</v>
      </c>
      <c r="B67" s="4" t="s">
        <v>342</v>
      </c>
      <c r="C67" s="4" t="s">
        <v>780</v>
      </c>
      <c r="D67" s="5">
        <v>45962</v>
      </c>
      <c r="E67" s="4" t="s">
        <v>966</v>
      </c>
      <c r="F67" s="4" t="s">
        <v>967</v>
      </c>
      <c r="G67" s="4" t="s">
        <v>775</v>
      </c>
      <c r="H67" s="4" t="s">
        <v>770</v>
      </c>
      <c r="I67" s="4" t="s">
        <v>56</v>
      </c>
      <c r="J67" s="4"/>
    </row>
    <row r="68" spans="1:10" ht="15" customHeight="1" x14ac:dyDescent="0.2">
      <c r="A68" s="3" t="s">
        <v>968</v>
      </c>
      <c r="B68" s="3" t="s">
        <v>354</v>
      </c>
      <c r="C68" s="3" t="s">
        <v>780</v>
      </c>
      <c r="D68" s="7">
        <v>45566</v>
      </c>
      <c r="E68" s="3" t="s">
        <v>969</v>
      </c>
      <c r="F68" s="3" t="s">
        <v>970</v>
      </c>
      <c r="G68" s="3" t="s">
        <v>775</v>
      </c>
      <c r="H68" s="3" t="s">
        <v>874</v>
      </c>
      <c r="I68" s="3" t="s">
        <v>56</v>
      </c>
      <c r="J68" s="3"/>
    </row>
    <row r="69" spans="1:10" ht="15" customHeight="1" x14ac:dyDescent="0.2">
      <c r="A69" s="4" t="s">
        <v>971</v>
      </c>
      <c r="B69" s="4" t="s">
        <v>357</v>
      </c>
      <c r="C69" s="4" t="s">
        <v>789</v>
      </c>
      <c r="D69" s="5">
        <v>45809</v>
      </c>
      <c r="E69" s="4" t="s">
        <v>972</v>
      </c>
      <c r="F69" s="4" t="s">
        <v>973</v>
      </c>
      <c r="G69" s="4" t="s">
        <v>769</v>
      </c>
      <c r="H69" s="4" t="s">
        <v>770</v>
      </c>
      <c r="I69" s="4" t="s">
        <v>56</v>
      </c>
      <c r="J69" s="4"/>
    </row>
    <row r="70" spans="1:10" ht="15" customHeight="1" x14ac:dyDescent="0.2">
      <c r="A70" s="3" t="s">
        <v>974</v>
      </c>
      <c r="B70" s="3" t="s">
        <v>362</v>
      </c>
      <c r="C70" s="3" t="s">
        <v>789</v>
      </c>
      <c r="D70" s="7">
        <v>46235</v>
      </c>
      <c r="E70" s="3" t="s">
        <v>975</v>
      </c>
      <c r="F70" s="3" t="s">
        <v>976</v>
      </c>
      <c r="G70" s="3" t="s">
        <v>769</v>
      </c>
      <c r="H70" s="3" t="s">
        <v>977</v>
      </c>
      <c r="I70" s="3" t="s">
        <v>56</v>
      </c>
      <c r="J70" s="3"/>
    </row>
    <row r="71" spans="1:10" ht="15" customHeight="1" x14ac:dyDescent="0.2">
      <c r="A71" s="4" t="s">
        <v>978</v>
      </c>
      <c r="B71" s="4" t="s">
        <v>362</v>
      </c>
      <c r="C71" s="4" t="s">
        <v>833</v>
      </c>
      <c r="D71" s="5">
        <v>46023</v>
      </c>
      <c r="E71" s="4" t="s">
        <v>979</v>
      </c>
      <c r="F71" s="4" t="s">
        <v>980</v>
      </c>
      <c r="G71" s="4" t="s">
        <v>775</v>
      </c>
      <c r="H71" s="4" t="s">
        <v>770</v>
      </c>
      <c r="I71" s="4" t="s">
        <v>56</v>
      </c>
      <c r="J71" s="4"/>
    </row>
    <row r="72" spans="1:10" ht="15" customHeight="1" x14ac:dyDescent="0.2">
      <c r="A72" s="3" t="s">
        <v>981</v>
      </c>
      <c r="B72" s="3" t="s">
        <v>366</v>
      </c>
      <c r="C72" s="3" t="s">
        <v>766</v>
      </c>
      <c r="D72" s="7">
        <v>45962</v>
      </c>
      <c r="E72" s="3" t="s">
        <v>982</v>
      </c>
      <c r="F72" s="3" t="s">
        <v>983</v>
      </c>
      <c r="G72" s="3" t="s">
        <v>769</v>
      </c>
      <c r="H72" s="3" t="s">
        <v>770</v>
      </c>
      <c r="I72" s="3" t="s">
        <v>56</v>
      </c>
      <c r="J72" s="3"/>
    </row>
    <row r="73" spans="1:10" ht="15" customHeight="1" x14ac:dyDescent="0.2">
      <c r="A73" s="4" t="s">
        <v>984</v>
      </c>
      <c r="B73" s="4" t="s">
        <v>371</v>
      </c>
      <c r="C73" s="4" t="s">
        <v>789</v>
      </c>
      <c r="D73" s="5">
        <v>45901</v>
      </c>
      <c r="E73" s="4" t="s">
        <v>985</v>
      </c>
      <c r="F73" s="4" t="s">
        <v>986</v>
      </c>
      <c r="G73" s="4" t="s">
        <v>769</v>
      </c>
      <c r="H73" s="4" t="s">
        <v>770</v>
      </c>
      <c r="I73" s="4" t="s">
        <v>56</v>
      </c>
      <c r="J73" s="4"/>
    </row>
    <row r="74" spans="1:10" ht="15" customHeight="1" x14ac:dyDescent="0.2">
      <c r="A74" s="3" t="s">
        <v>987</v>
      </c>
      <c r="B74" s="3" t="s">
        <v>376</v>
      </c>
      <c r="C74" s="3" t="s">
        <v>780</v>
      </c>
      <c r="D74" s="7">
        <v>45792</v>
      </c>
      <c r="E74" s="3" t="s">
        <v>988</v>
      </c>
      <c r="F74" s="3" t="s">
        <v>989</v>
      </c>
      <c r="G74" s="3" t="s">
        <v>769</v>
      </c>
      <c r="H74" s="3" t="s">
        <v>770</v>
      </c>
      <c r="I74" s="3" t="s">
        <v>56</v>
      </c>
      <c r="J74" s="3"/>
    </row>
    <row r="75" spans="1:10" ht="15" customHeight="1" x14ac:dyDescent="0.2">
      <c r="A75" s="4" t="s">
        <v>990</v>
      </c>
      <c r="B75" s="4" t="s">
        <v>376</v>
      </c>
      <c r="C75" s="4" t="s">
        <v>789</v>
      </c>
      <c r="D75" s="5">
        <v>46054</v>
      </c>
      <c r="E75" s="4" t="s">
        <v>991</v>
      </c>
      <c r="F75" s="4" t="s">
        <v>989</v>
      </c>
      <c r="G75" s="4" t="s">
        <v>775</v>
      </c>
      <c r="H75" s="4" t="s">
        <v>770</v>
      </c>
      <c r="I75" s="4" t="s">
        <v>56</v>
      </c>
      <c r="J75" s="4"/>
    </row>
    <row r="76" spans="1:10" ht="15" customHeight="1" x14ac:dyDescent="0.2">
      <c r="A76" s="3" t="s">
        <v>992</v>
      </c>
      <c r="B76" s="3" t="s">
        <v>379</v>
      </c>
      <c r="C76" s="3" t="s">
        <v>789</v>
      </c>
      <c r="D76" s="7">
        <v>46082</v>
      </c>
      <c r="E76" s="3" t="s">
        <v>993</v>
      </c>
      <c r="F76" s="3" t="s">
        <v>994</v>
      </c>
      <c r="G76" s="3" t="s">
        <v>769</v>
      </c>
      <c r="H76" s="3" t="s">
        <v>770</v>
      </c>
      <c r="I76" s="3" t="s">
        <v>56</v>
      </c>
      <c r="J76" s="3"/>
    </row>
    <row r="77" spans="1:10" ht="15" customHeight="1" x14ac:dyDescent="0.2">
      <c r="A77" s="4" t="s">
        <v>995</v>
      </c>
      <c r="B77" s="4" t="s">
        <v>379</v>
      </c>
      <c r="C77" s="4" t="s">
        <v>780</v>
      </c>
      <c r="D77" s="5">
        <v>46143</v>
      </c>
      <c r="E77" s="4" t="s">
        <v>996</v>
      </c>
      <c r="F77" s="4" t="s">
        <v>997</v>
      </c>
      <c r="G77" s="4" t="s">
        <v>775</v>
      </c>
      <c r="H77" s="4" t="s">
        <v>770</v>
      </c>
      <c r="I77" s="4" t="s">
        <v>56</v>
      </c>
      <c r="J77" s="4"/>
    </row>
    <row r="78" spans="1:10" ht="15" customHeight="1" x14ac:dyDescent="0.2">
      <c r="A78" s="3" t="s">
        <v>998</v>
      </c>
      <c r="B78" s="3" t="s">
        <v>384</v>
      </c>
      <c r="C78" s="3" t="s">
        <v>789</v>
      </c>
      <c r="D78" s="7">
        <v>46174</v>
      </c>
      <c r="E78" s="3" t="s">
        <v>999</v>
      </c>
      <c r="F78" s="3" t="s">
        <v>1000</v>
      </c>
      <c r="G78" s="3" t="s">
        <v>769</v>
      </c>
      <c r="H78" s="3" t="s">
        <v>770</v>
      </c>
      <c r="I78" s="3" t="s">
        <v>56</v>
      </c>
      <c r="J78" s="3"/>
    </row>
    <row r="79" spans="1:10" ht="15" customHeight="1" x14ac:dyDescent="0.2">
      <c r="A79" s="4" t="s">
        <v>1001</v>
      </c>
      <c r="B79" s="4" t="s">
        <v>395</v>
      </c>
      <c r="C79" s="4" t="s">
        <v>766</v>
      </c>
      <c r="D79" s="5">
        <v>46037</v>
      </c>
      <c r="E79" s="4" t="s">
        <v>1002</v>
      </c>
      <c r="F79" s="4" t="s">
        <v>1003</v>
      </c>
      <c r="G79" s="4" t="s">
        <v>769</v>
      </c>
      <c r="H79" s="4" t="s">
        <v>770</v>
      </c>
      <c r="I79" s="4" t="s">
        <v>56</v>
      </c>
      <c r="J79" s="4"/>
    </row>
    <row r="80" spans="1:10" ht="15" customHeight="1" x14ac:dyDescent="0.2">
      <c r="A80" s="3" t="s">
        <v>1004</v>
      </c>
      <c r="B80" s="3" t="s">
        <v>400</v>
      </c>
      <c r="C80" s="3" t="s">
        <v>789</v>
      </c>
      <c r="D80" s="7">
        <v>46082</v>
      </c>
      <c r="E80" s="3" t="s">
        <v>1005</v>
      </c>
      <c r="F80" s="3" t="s">
        <v>1006</v>
      </c>
      <c r="G80" s="3" t="s">
        <v>775</v>
      </c>
      <c r="H80" s="3" t="s">
        <v>770</v>
      </c>
      <c r="I80" s="3" t="s">
        <v>56</v>
      </c>
      <c r="J80" s="3"/>
    </row>
    <row r="81" spans="1:10" ht="15" customHeight="1" x14ac:dyDescent="0.2">
      <c r="A81" s="4" t="s">
        <v>1007</v>
      </c>
      <c r="B81" s="4" t="s">
        <v>408</v>
      </c>
      <c r="C81" s="4" t="s">
        <v>766</v>
      </c>
      <c r="D81" s="5">
        <v>45762</v>
      </c>
      <c r="E81" s="4" t="s">
        <v>1008</v>
      </c>
      <c r="F81" s="4" t="s">
        <v>1009</v>
      </c>
      <c r="G81" s="4" t="s">
        <v>769</v>
      </c>
      <c r="H81" s="4" t="s">
        <v>770</v>
      </c>
      <c r="I81" s="4" t="s">
        <v>56</v>
      </c>
      <c r="J81" s="4"/>
    </row>
    <row r="82" spans="1:10" ht="15" customHeight="1" x14ac:dyDescent="0.2">
      <c r="A82" s="3" t="s">
        <v>1010</v>
      </c>
      <c r="B82" s="3" t="s">
        <v>415</v>
      </c>
      <c r="C82" s="3" t="s">
        <v>789</v>
      </c>
      <c r="D82" s="7">
        <v>46113</v>
      </c>
      <c r="E82" s="3" t="s">
        <v>1011</v>
      </c>
      <c r="F82" s="3" t="s">
        <v>1012</v>
      </c>
      <c r="G82" s="3" t="s">
        <v>769</v>
      </c>
      <c r="H82" s="3" t="s">
        <v>770</v>
      </c>
      <c r="I82" s="3" t="s">
        <v>56</v>
      </c>
      <c r="J82" s="3"/>
    </row>
    <row r="83" spans="1:10" ht="15" customHeight="1" x14ac:dyDescent="0.2">
      <c r="A83" s="4" t="s">
        <v>1013</v>
      </c>
      <c r="B83" s="4" t="s">
        <v>429</v>
      </c>
      <c r="C83" s="4" t="s">
        <v>766</v>
      </c>
      <c r="D83" s="5">
        <v>46082</v>
      </c>
      <c r="E83" s="4" t="s">
        <v>1014</v>
      </c>
      <c r="F83" s="4" t="s">
        <v>1015</v>
      </c>
      <c r="G83" s="4" t="s">
        <v>769</v>
      </c>
      <c r="H83" s="4" t="s">
        <v>770</v>
      </c>
      <c r="I83" s="4" t="s">
        <v>56</v>
      </c>
      <c r="J83" s="4"/>
    </row>
    <row r="84" spans="1:10" ht="15" customHeight="1" x14ac:dyDescent="0.2">
      <c r="A84" s="3" t="s">
        <v>1016</v>
      </c>
      <c r="B84" s="3" t="s">
        <v>432</v>
      </c>
      <c r="C84" s="3" t="s">
        <v>766</v>
      </c>
      <c r="D84" s="7">
        <v>45809</v>
      </c>
      <c r="E84" s="3" t="s">
        <v>1017</v>
      </c>
      <c r="F84" s="3" t="s">
        <v>1018</v>
      </c>
      <c r="G84" s="3" t="s">
        <v>769</v>
      </c>
      <c r="H84" s="3" t="s">
        <v>770</v>
      </c>
      <c r="I84" s="3" t="s">
        <v>56</v>
      </c>
      <c r="J84" s="3"/>
    </row>
    <row r="85" spans="1:10" ht="15" customHeight="1" x14ac:dyDescent="0.2">
      <c r="A85" s="4" t="s">
        <v>1019</v>
      </c>
      <c r="B85" s="4" t="s">
        <v>436</v>
      </c>
      <c r="C85" s="4" t="s">
        <v>766</v>
      </c>
      <c r="D85" s="5">
        <v>46037</v>
      </c>
      <c r="E85" s="4" t="s">
        <v>1020</v>
      </c>
      <c r="F85" s="4" t="s">
        <v>1021</v>
      </c>
      <c r="G85" s="4" t="s">
        <v>769</v>
      </c>
      <c r="H85" s="4" t="s">
        <v>770</v>
      </c>
      <c r="I85" s="4" t="s">
        <v>56</v>
      </c>
      <c r="J85" s="4"/>
    </row>
    <row r="86" spans="1:10" ht="15" customHeight="1" x14ac:dyDescent="0.2">
      <c r="A86" s="3" t="s">
        <v>1022</v>
      </c>
      <c r="B86" s="3" t="s">
        <v>441</v>
      </c>
      <c r="C86" s="3" t="s">
        <v>780</v>
      </c>
      <c r="D86" s="7">
        <v>46082</v>
      </c>
      <c r="E86" s="3" t="s">
        <v>1023</v>
      </c>
      <c r="F86" s="3" t="s">
        <v>1024</v>
      </c>
      <c r="G86" s="3" t="s">
        <v>769</v>
      </c>
      <c r="H86" s="3" t="s">
        <v>770</v>
      </c>
      <c r="I86" s="3" t="s">
        <v>56</v>
      </c>
      <c r="J86" s="3"/>
    </row>
    <row r="87" spans="1:10" ht="15" customHeight="1" x14ac:dyDescent="0.2">
      <c r="A87" s="4" t="s">
        <v>1025</v>
      </c>
      <c r="B87" s="4" t="s">
        <v>447</v>
      </c>
      <c r="C87" s="4" t="s">
        <v>780</v>
      </c>
      <c r="D87" s="5">
        <v>46174</v>
      </c>
      <c r="E87" s="4" t="s">
        <v>1026</v>
      </c>
      <c r="F87" s="4" t="s">
        <v>1027</v>
      </c>
      <c r="G87" s="4" t="s">
        <v>769</v>
      </c>
      <c r="H87" s="4" t="s">
        <v>770</v>
      </c>
      <c r="I87" s="4" t="s">
        <v>56</v>
      </c>
      <c r="J87" s="4"/>
    </row>
    <row r="88" spans="1:10" ht="15" customHeight="1" x14ac:dyDescent="0.2">
      <c r="A88" s="3" t="s">
        <v>1028</v>
      </c>
      <c r="B88" s="3" t="s">
        <v>455</v>
      </c>
      <c r="C88" s="3" t="s">
        <v>780</v>
      </c>
      <c r="D88" s="7">
        <v>45870</v>
      </c>
      <c r="E88" s="3" t="s">
        <v>1029</v>
      </c>
      <c r="F88" s="3" t="s">
        <v>1030</v>
      </c>
      <c r="G88" s="3" t="s">
        <v>769</v>
      </c>
      <c r="H88" s="3" t="s">
        <v>770</v>
      </c>
      <c r="I88" s="3" t="s">
        <v>56</v>
      </c>
      <c r="J88" s="3"/>
    </row>
    <row r="89" spans="1:10" ht="15" customHeight="1" x14ac:dyDescent="0.2">
      <c r="A89" s="4" t="s">
        <v>1031</v>
      </c>
      <c r="B89" s="4" t="s">
        <v>455</v>
      </c>
      <c r="C89" s="4" t="s">
        <v>789</v>
      </c>
      <c r="D89" s="5">
        <v>46157</v>
      </c>
      <c r="E89" s="4" t="s">
        <v>1032</v>
      </c>
      <c r="F89" s="4" t="s">
        <v>1030</v>
      </c>
      <c r="G89" s="4" t="s">
        <v>775</v>
      </c>
      <c r="H89" s="4" t="s">
        <v>770</v>
      </c>
      <c r="I89" s="4" t="s">
        <v>56</v>
      </c>
      <c r="J89" s="4"/>
    </row>
    <row r="90" spans="1:10" ht="15" customHeight="1" x14ac:dyDescent="0.2">
      <c r="A90" s="3" t="s">
        <v>1007</v>
      </c>
      <c r="B90" s="3" t="s">
        <v>468</v>
      </c>
      <c r="C90" s="3" t="s">
        <v>766</v>
      </c>
      <c r="D90" s="7">
        <v>45672</v>
      </c>
      <c r="E90" s="3" t="s">
        <v>1033</v>
      </c>
      <c r="F90" s="3" t="s">
        <v>1034</v>
      </c>
      <c r="G90" s="3" t="s">
        <v>769</v>
      </c>
      <c r="H90" s="3" t="s">
        <v>1035</v>
      </c>
      <c r="I90" s="3" t="s">
        <v>56</v>
      </c>
      <c r="J90" s="3"/>
    </row>
    <row r="91" spans="1:10" ht="15" customHeight="1" x14ac:dyDescent="0.2">
      <c r="A91" s="4" t="s">
        <v>1036</v>
      </c>
      <c r="B91" s="4" t="s">
        <v>473</v>
      </c>
      <c r="C91" s="4" t="s">
        <v>780</v>
      </c>
      <c r="D91" s="5">
        <v>45809</v>
      </c>
      <c r="E91" s="4" t="s">
        <v>1037</v>
      </c>
      <c r="F91" s="4" t="s">
        <v>1038</v>
      </c>
      <c r="G91" s="4" t="s">
        <v>775</v>
      </c>
      <c r="H91" s="4" t="s">
        <v>770</v>
      </c>
      <c r="I91" s="4" t="s">
        <v>56</v>
      </c>
      <c r="J91" s="4"/>
    </row>
    <row r="92" spans="1:10" ht="15" customHeight="1" x14ac:dyDescent="0.2">
      <c r="A92" s="3" t="s">
        <v>1039</v>
      </c>
      <c r="B92" s="3" t="s">
        <v>479</v>
      </c>
      <c r="C92" s="3" t="s">
        <v>789</v>
      </c>
      <c r="D92" s="7">
        <v>45823</v>
      </c>
      <c r="E92" s="3" t="s">
        <v>1040</v>
      </c>
      <c r="F92" s="3" t="s">
        <v>1041</v>
      </c>
      <c r="G92" s="3" t="s">
        <v>769</v>
      </c>
      <c r="H92" s="3" t="s">
        <v>770</v>
      </c>
      <c r="I92" s="3" t="s">
        <v>56</v>
      </c>
      <c r="J92" s="3"/>
    </row>
    <row r="93" spans="1:10" ht="15" customHeight="1" x14ac:dyDescent="0.2">
      <c r="A93" s="4" t="s">
        <v>1042</v>
      </c>
      <c r="B93" s="4" t="s">
        <v>485</v>
      </c>
      <c r="C93" s="4" t="s">
        <v>766</v>
      </c>
      <c r="D93" s="5">
        <v>45931</v>
      </c>
      <c r="E93" s="4" t="s">
        <v>1043</v>
      </c>
      <c r="F93" s="4" t="s">
        <v>1044</v>
      </c>
      <c r="G93" s="4" t="s">
        <v>769</v>
      </c>
      <c r="H93" s="4" t="s">
        <v>770</v>
      </c>
      <c r="I93" s="4" t="s">
        <v>56</v>
      </c>
      <c r="J93" s="4"/>
    </row>
    <row r="94" spans="1:10" ht="15" customHeight="1" x14ac:dyDescent="0.2">
      <c r="A94" s="3" t="s">
        <v>1045</v>
      </c>
      <c r="B94" s="3" t="s">
        <v>498</v>
      </c>
      <c r="C94" s="3" t="s">
        <v>766</v>
      </c>
      <c r="D94" s="7">
        <v>46054</v>
      </c>
      <c r="E94" s="3" t="s">
        <v>1046</v>
      </c>
      <c r="F94" s="3" t="s">
        <v>1047</v>
      </c>
      <c r="G94" s="3" t="s">
        <v>769</v>
      </c>
      <c r="H94" s="3" t="s">
        <v>770</v>
      </c>
      <c r="I94" s="3" t="s">
        <v>56</v>
      </c>
      <c r="J94" s="3"/>
    </row>
    <row r="95" spans="1:10" ht="15" customHeight="1" x14ac:dyDescent="0.2">
      <c r="A95" s="4" t="s">
        <v>1048</v>
      </c>
      <c r="B95" s="4" t="s">
        <v>504</v>
      </c>
      <c r="C95" s="4" t="s">
        <v>780</v>
      </c>
      <c r="D95" s="5">
        <v>45702</v>
      </c>
      <c r="E95" s="4" t="s">
        <v>1049</v>
      </c>
      <c r="F95" s="4" t="s">
        <v>1050</v>
      </c>
      <c r="G95" s="4" t="s">
        <v>769</v>
      </c>
      <c r="H95" s="4" t="s">
        <v>770</v>
      </c>
      <c r="I95" s="4" t="s">
        <v>56</v>
      </c>
      <c r="J95" s="4"/>
    </row>
    <row r="96" spans="1:10" ht="15" customHeight="1" x14ac:dyDescent="0.2">
      <c r="A96" s="3" t="s">
        <v>1051</v>
      </c>
      <c r="B96" s="3" t="s">
        <v>504</v>
      </c>
      <c r="C96" s="3" t="s">
        <v>780</v>
      </c>
      <c r="D96" s="7">
        <v>45672</v>
      </c>
      <c r="E96" s="3" t="s">
        <v>1052</v>
      </c>
      <c r="F96" s="3" t="s">
        <v>1050</v>
      </c>
      <c r="G96" s="3" t="s">
        <v>769</v>
      </c>
      <c r="H96" s="3" t="s">
        <v>770</v>
      </c>
      <c r="I96" s="3" t="s">
        <v>56</v>
      </c>
      <c r="J96" s="3"/>
    </row>
    <row r="97" spans="1:10" ht="15" customHeight="1" x14ac:dyDescent="0.2">
      <c r="A97" s="4" t="s">
        <v>1053</v>
      </c>
      <c r="B97" s="4" t="s">
        <v>513</v>
      </c>
      <c r="C97" s="4" t="s">
        <v>780</v>
      </c>
      <c r="D97" s="5">
        <v>45748</v>
      </c>
      <c r="E97" s="4" t="s">
        <v>1054</v>
      </c>
      <c r="F97" s="4" t="s">
        <v>1055</v>
      </c>
      <c r="G97" s="4" t="s">
        <v>769</v>
      </c>
      <c r="H97" s="4" t="s">
        <v>770</v>
      </c>
      <c r="I97" s="4" t="s">
        <v>56</v>
      </c>
      <c r="J97" s="4"/>
    </row>
    <row r="98" spans="1:10" ht="15" customHeight="1" x14ac:dyDescent="0.2">
      <c r="A98" s="3" t="s">
        <v>1056</v>
      </c>
      <c r="B98" s="3" t="s">
        <v>522</v>
      </c>
      <c r="C98" s="3" t="s">
        <v>789</v>
      </c>
      <c r="D98" s="7">
        <v>45992</v>
      </c>
      <c r="E98" s="3" t="s">
        <v>1057</v>
      </c>
      <c r="F98" s="3" t="s">
        <v>1058</v>
      </c>
      <c r="G98" s="3" t="s">
        <v>769</v>
      </c>
      <c r="H98" s="3" t="s">
        <v>770</v>
      </c>
      <c r="I98" s="3" t="s">
        <v>56</v>
      </c>
      <c r="J98" s="3"/>
    </row>
    <row r="99" spans="1:10" ht="15" customHeight="1" x14ac:dyDescent="0.2">
      <c r="A99" s="4" t="s">
        <v>1059</v>
      </c>
      <c r="B99" s="4" t="s">
        <v>536</v>
      </c>
      <c r="C99" s="4" t="s">
        <v>766</v>
      </c>
      <c r="D99" s="5">
        <v>45778</v>
      </c>
      <c r="E99" s="4" t="s">
        <v>1060</v>
      </c>
      <c r="F99" s="4" t="s">
        <v>1061</v>
      </c>
      <c r="G99" s="4" t="s">
        <v>769</v>
      </c>
      <c r="H99" s="4" t="s">
        <v>770</v>
      </c>
      <c r="I99" s="4" t="s">
        <v>56</v>
      </c>
      <c r="J99" s="4"/>
    </row>
    <row r="100" spans="1:10" ht="15" customHeight="1" x14ac:dyDescent="0.2">
      <c r="A100" s="3" t="s">
        <v>1062</v>
      </c>
      <c r="B100" s="3" t="s">
        <v>561</v>
      </c>
      <c r="C100" s="3" t="s">
        <v>833</v>
      </c>
      <c r="D100" s="7">
        <v>46127</v>
      </c>
      <c r="E100" s="3" t="s">
        <v>1063</v>
      </c>
      <c r="F100" s="3" t="s">
        <v>1064</v>
      </c>
      <c r="G100" s="3" t="s">
        <v>769</v>
      </c>
      <c r="H100" s="3" t="s">
        <v>770</v>
      </c>
      <c r="I100" s="3" t="s">
        <v>56</v>
      </c>
      <c r="J100" s="3"/>
    </row>
    <row r="101" spans="1:10" x14ac:dyDescent="0.2">
      <c r="A101" t="s">
        <v>1065</v>
      </c>
      <c r="B101" t="s">
        <v>557</v>
      </c>
      <c r="C101" t="s">
        <v>789</v>
      </c>
      <c r="D101" s="12">
        <v>45901</v>
      </c>
      <c r="E101" t="s">
        <v>1066</v>
      </c>
      <c r="F101" t="s">
        <v>1067</v>
      </c>
      <c r="G101" t="s">
        <v>769</v>
      </c>
      <c r="H101" t="s">
        <v>770</v>
      </c>
      <c r="I101" t="s">
        <v>56</v>
      </c>
    </row>
    <row r="102" spans="1:10" x14ac:dyDescent="0.2">
      <c r="A102" t="s">
        <v>1068</v>
      </c>
      <c r="B102" t="s">
        <v>565</v>
      </c>
      <c r="C102" t="s">
        <v>789</v>
      </c>
      <c r="D102" s="12">
        <v>45731</v>
      </c>
      <c r="E102" t="s">
        <v>1069</v>
      </c>
      <c r="F102" t="s">
        <v>1070</v>
      </c>
      <c r="G102" t="s">
        <v>769</v>
      </c>
      <c r="H102" t="s">
        <v>770</v>
      </c>
      <c r="I102" t="s">
        <v>56</v>
      </c>
    </row>
    <row r="103" spans="1:10" x14ac:dyDescent="0.2">
      <c r="A103" t="s">
        <v>1071</v>
      </c>
      <c r="B103" t="s">
        <v>530</v>
      </c>
      <c r="C103" t="s">
        <v>789</v>
      </c>
      <c r="D103" s="12">
        <v>45870</v>
      </c>
      <c r="E103" t="s">
        <v>1072</v>
      </c>
      <c r="F103" t="s">
        <v>1073</v>
      </c>
      <c r="G103" t="s">
        <v>775</v>
      </c>
      <c r="H103" t="s">
        <v>770</v>
      </c>
      <c r="I103" t="s">
        <v>56</v>
      </c>
    </row>
    <row r="104" spans="1:10" x14ac:dyDescent="0.2">
      <c r="A104" t="s">
        <v>1074</v>
      </c>
      <c r="B104" t="s">
        <v>493</v>
      </c>
      <c r="C104" t="s">
        <v>789</v>
      </c>
      <c r="D104" s="12">
        <v>45809</v>
      </c>
      <c r="E104" t="s">
        <v>1075</v>
      </c>
      <c r="F104" t="s">
        <v>1076</v>
      </c>
      <c r="G104" t="s">
        <v>775</v>
      </c>
      <c r="H104" t="s">
        <v>770</v>
      </c>
      <c r="I104" t="s">
        <v>56</v>
      </c>
    </row>
  </sheetData>
  <mergeCells count="2">
    <mergeCell ref="A2:F2"/>
    <mergeCell ref="A1:F1"/>
  </mergeCells>
  <dataValidations count="3">
    <dataValidation type="list" allowBlank="1" errorTitle="Invalid entry" error="Value not in list" sqref="C5:C500" xr:uid="{00000000-0002-0000-0500-000000000000}">
      <formula1>"New Product Launch,Incumbent Contract Expiry,Incumbent Performance Issue,Executive Change (Product/Eng),Executive Change (CFO/CEO),New Market Entry,Funding Round,Regulatory Change,Other"</formula1>
      <formula2>0</formula2>
    </dataValidation>
    <dataValidation type="list" allowBlank="1" errorTitle="Invalid entry" error="Value not in list" sqref="G5:G500" xr:uid="{00000000-0002-0000-0500-000001000000}">
      <formula1>"High,Medium,Low"</formula1>
      <formula2>0</formula2>
    </dataValidation>
    <dataValidation type="list" allowBlank="1" errorTitle="Invalid entry" error="Value not in list" sqref="I5:I500" xr:uid="{00000000-0002-0000-0500-000002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0"/>
  <sheetViews>
    <sheetView zoomScaleNormal="100" workbookViewId="0">
      <pane ySplit="4" topLeftCell="A5" activePane="bottomLeft" state="frozen"/>
      <selection pane="bottomLeft"/>
    </sheetView>
  </sheetViews>
  <sheetFormatPr baseColWidth="10" defaultColWidth="8.6640625" defaultRowHeight="15" x14ac:dyDescent="0.2"/>
  <cols>
    <col min="1" max="1" width="10" customWidth="1"/>
    <col min="2" max="3" width="12" customWidth="1"/>
    <col min="4" max="4" width="26" customWidth="1"/>
    <col min="5" max="5" width="16" customWidth="1"/>
    <col min="6" max="6" width="60" customWidth="1"/>
  </cols>
  <sheetData>
    <row r="1" spans="1:6" ht="27.75" customHeight="1" x14ac:dyDescent="0.3">
      <c r="A1" s="20" t="s">
        <v>1077</v>
      </c>
      <c r="B1" s="21"/>
      <c r="C1" s="21"/>
      <c r="D1" s="21"/>
      <c r="E1" s="21"/>
      <c r="F1" s="21"/>
    </row>
    <row r="2" spans="1:6" ht="15" customHeight="1" x14ac:dyDescent="0.2">
      <c r="A2" s="22" t="s">
        <v>1078</v>
      </c>
      <c r="B2" s="21"/>
      <c r="C2" s="21"/>
      <c r="D2" s="21"/>
      <c r="E2" s="21"/>
      <c r="F2" s="21"/>
    </row>
    <row r="4" spans="1:6" ht="27.75" customHeight="1" x14ac:dyDescent="0.2">
      <c r="A4" s="2" t="s">
        <v>1079</v>
      </c>
      <c r="B4" s="2" t="s">
        <v>584</v>
      </c>
      <c r="C4" s="2" t="s">
        <v>1080</v>
      </c>
      <c r="D4" s="2" t="s">
        <v>1081</v>
      </c>
      <c r="E4" s="2" t="s">
        <v>1082</v>
      </c>
      <c r="F4" s="2" t="s">
        <v>1083</v>
      </c>
    </row>
    <row r="5" spans="1:6" ht="15" customHeight="1" x14ac:dyDescent="0.2">
      <c r="A5" s="4"/>
      <c r="B5" s="4"/>
      <c r="C5" s="4"/>
      <c r="D5" s="4"/>
      <c r="E5" s="4"/>
      <c r="F5" s="4"/>
    </row>
    <row r="6" spans="1:6" ht="15" customHeight="1" x14ac:dyDescent="0.2">
      <c r="A6" s="3"/>
      <c r="B6" s="3"/>
      <c r="C6" s="3"/>
      <c r="D6" s="3"/>
      <c r="E6" s="3"/>
      <c r="F6" s="3"/>
    </row>
    <row r="7" spans="1:6" ht="15" customHeight="1" x14ac:dyDescent="0.2">
      <c r="A7" s="4"/>
      <c r="B7" s="4"/>
      <c r="C7" s="4"/>
      <c r="D7" s="4"/>
      <c r="E7" s="4"/>
      <c r="F7" s="4"/>
    </row>
    <row r="8" spans="1:6" ht="15" customHeight="1" x14ac:dyDescent="0.2">
      <c r="A8" s="3"/>
      <c r="B8" s="3"/>
      <c r="C8" s="3"/>
      <c r="D8" s="3"/>
      <c r="E8" s="3"/>
      <c r="F8" s="3"/>
    </row>
    <row r="9" spans="1:6" ht="15" customHeight="1" x14ac:dyDescent="0.2">
      <c r="A9" s="4"/>
      <c r="B9" s="4"/>
      <c r="C9" s="4"/>
      <c r="D9" s="4"/>
      <c r="E9" s="4"/>
      <c r="F9" s="4"/>
    </row>
    <row r="10" spans="1:6" ht="15" customHeight="1" x14ac:dyDescent="0.2">
      <c r="A10" s="3"/>
      <c r="B10" s="3"/>
      <c r="C10" s="3"/>
      <c r="D10" s="3"/>
      <c r="E10" s="3"/>
      <c r="F10" s="3"/>
    </row>
    <row r="11" spans="1:6" ht="15" customHeight="1" x14ac:dyDescent="0.2">
      <c r="A11" s="4"/>
      <c r="B11" s="4"/>
      <c r="C11" s="4"/>
      <c r="D11" s="4"/>
      <c r="E11" s="4"/>
      <c r="F11" s="4"/>
    </row>
    <row r="12" spans="1:6" ht="15" customHeight="1" x14ac:dyDescent="0.2">
      <c r="A12" s="3"/>
      <c r="B12" s="3"/>
      <c r="C12" s="3"/>
      <c r="D12" s="3"/>
      <c r="E12" s="3"/>
      <c r="F12" s="3"/>
    </row>
    <row r="13" spans="1:6" ht="15" customHeight="1" x14ac:dyDescent="0.2">
      <c r="A13" s="4"/>
      <c r="B13" s="4"/>
      <c r="C13" s="4"/>
      <c r="D13" s="4"/>
      <c r="E13" s="4"/>
      <c r="F13" s="4"/>
    </row>
    <row r="14" spans="1:6" ht="15" customHeight="1" x14ac:dyDescent="0.2">
      <c r="A14" s="3"/>
      <c r="B14" s="3"/>
      <c r="C14" s="3"/>
      <c r="D14" s="3"/>
      <c r="E14" s="3"/>
      <c r="F14" s="3"/>
    </row>
    <row r="15" spans="1:6" ht="15" customHeight="1" x14ac:dyDescent="0.2">
      <c r="A15" s="4"/>
      <c r="B15" s="4"/>
      <c r="C15" s="4"/>
      <c r="D15" s="4"/>
      <c r="E15" s="4"/>
      <c r="F15" s="4"/>
    </row>
    <row r="16" spans="1:6" ht="15" customHeight="1" x14ac:dyDescent="0.2">
      <c r="A16" s="3"/>
      <c r="B16" s="3"/>
      <c r="C16" s="3"/>
      <c r="D16" s="3"/>
      <c r="E16" s="3"/>
      <c r="F16" s="3"/>
    </row>
    <row r="17" spans="1:6" ht="15" customHeight="1" x14ac:dyDescent="0.2">
      <c r="A17" s="4"/>
      <c r="B17" s="4"/>
      <c r="C17" s="4"/>
      <c r="D17" s="4"/>
      <c r="E17" s="4"/>
      <c r="F17" s="4"/>
    </row>
    <row r="18" spans="1:6" ht="15" customHeight="1" x14ac:dyDescent="0.2">
      <c r="A18" s="3"/>
      <c r="B18" s="3"/>
      <c r="C18" s="3"/>
      <c r="D18" s="3"/>
      <c r="E18" s="3"/>
      <c r="F18" s="3"/>
    </row>
    <row r="19" spans="1:6" ht="15" customHeight="1" x14ac:dyDescent="0.2">
      <c r="A19" s="4"/>
      <c r="B19" s="4"/>
      <c r="C19" s="4"/>
      <c r="D19" s="4"/>
      <c r="E19" s="4"/>
      <c r="F19" s="4"/>
    </row>
    <row r="20" spans="1:6" ht="15" customHeight="1" x14ac:dyDescent="0.2">
      <c r="A20" s="3"/>
      <c r="B20" s="3"/>
      <c r="C20" s="3"/>
      <c r="D20" s="3"/>
      <c r="E20" s="3"/>
      <c r="F20" s="3"/>
    </row>
    <row r="21" spans="1:6" ht="15" customHeight="1" x14ac:dyDescent="0.2">
      <c r="A21" s="4"/>
      <c r="B21" s="4"/>
      <c r="C21" s="4"/>
      <c r="D21" s="4"/>
      <c r="E21" s="4"/>
      <c r="F21" s="4"/>
    </row>
    <row r="22" spans="1:6" ht="15" customHeight="1" x14ac:dyDescent="0.2">
      <c r="A22" s="3"/>
      <c r="B22" s="3"/>
      <c r="C22" s="3"/>
      <c r="D22" s="3"/>
      <c r="E22" s="3"/>
      <c r="F22" s="3"/>
    </row>
    <row r="23" spans="1:6" ht="15" customHeight="1" x14ac:dyDescent="0.2">
      <c r="A23" s="4"/>
      <c r="B23" s="4"/>
      <c r="C23" s="4"/>
      <c r="D23" s="4"/>
      <c r="E23" s="4"/>
      <c r="F23" s="4"/>
    </row>
    <row r="24" spans="1:6" ht="15" customHeight="1" x14ac:dyDescent="0.2">
      <c r="A24" s="3"/>
      <c r="B24" s="3"/>
      <c r="C24" s="3"/>
      <c r="D24" s="3"/>
      <c r="E24" s="3"/>
      <c r="F24" s="3"/>
    </row>
    <row r="25" spans="1:6" ht="15" customHeight="1" x14ac:dyDescent="0.2">
      <c r="A25" s="4"/>
      <c r="B25" s="4"/>
      <c r="C25" s="4"/>
      <c r="D25" s="4"/>
      <c r="E25" s="4"/>
      <c r="F25" s="4"/>
    </row>
    <row r="26" spans="1:6" ht="15" customHeight="1" x14ac:dyDescent="0.2">
      <c r="A26" s="3"/>
      <c r="B26" s="3"/>
      <c r="C26" s="3"/>
      <c r="D26" s="3"/>
      <c r="E26" s="3"/>
      <c r="F26" s="3"/>
    </row>
    <row r="27" spans="1:6" ht="15" customHeight="1" x14ac:dyDescent="0.2">
      <c r="A27" s="4"/>
      <c r="B27" s="4"/>
      <c r="C27" s="4"/>
      <c r="D27" s="4"/>
      <c r="E27" s="4"/>
      <c r="F27" s="4"/>
    </row>
    <row r="28" spans="1:6" ht="15" customHeight="1" x14ac:dyDescent="0.2">
      <c r="A28" s="3"/>
      <c r="B28" s="3"/>
      <c r="C28" s="3"/>
      <c r="D28" s="3"/>
      <c r="E28" s="3"/>
      <c r="F28" s="3"/>
    </row>
    <row r="29" spans="1:6" ht="15" customHeight="1" x14ac:dyDescent="0.2">
      <c r="A29" s="4"/>
      <c r="B29" s="4"/>
      <c r="C29" s="4"/>
      <c r="D29" s="4"/>
      <c r="E29" s="4"/>
      <c r="F29" s="4"/>
    </row>
    <row r="30" spans="1:6" ht="15" customHeight="1" x14ac:dyDescent="0.2">
      <c r="A30" s="3"/>
      <c r="B30" s="3"/>
      <c r="C30" s="3"/>
      <c r="D30" s="3"/>
      <c r="E30" s="3"/>
      <c r="F30" s="3"/>
    </row>
    <row r="31" spans="1:6" ht="15" customHeight="1" x14ac:dyDescent="0.2">
      <c r="A31" s="4"/>
      <c r="B31" s="4"/>
      <c r="C31" s="4"/>
      <c r="D31" s="4"/>
      <c r="E31" s="4"/>
      <c r="F31" s="4"/>
    </row>
    <row r="32" spans="1:6" ht="15" customHeight="1" x14ac:dyDescent="0.2">
      <c r="A32" s="3"/>
      <c r="B32" s="3"/>
      <c r="C32" s="3"/>
      <c r="D32" s="3"/>
      <c r="E32" s="3"/>
      <c r="F32" s="3"/>
    </row>
    <row r="33" spans="1:6" ht="15" customHeight="1" x14ac:dyDescent="0.2">
      <c r="A33" s="4"/>
      <c r="B33" s="4"/>
      <c r="C33" s="4"/>
      <c r="D33" s="4"/>
      <c r="E33" s="4"/>
      <c r="F33" s="4"/>
    </row>
    <row r="34" spans="1:6" ht="15" customHeight="1" x14ac:dyDescent="0.2">
      <c r="A34" s="3"/>
      <c r="B34" s="3"/>
      <c r="C34" s="3"/>
      <c r="D34" s="3"/>
      <c r="E34" s="3"/>
      <c r="F34" s="3"/>
    </row>
    <row r="35" spans="1:6" ht="15" customHeight="1" x14ac:dyDescent="0.2">
      <c r="A35" s="4"/>
      <c r="B35" s="4"/>
      <c r="C35" s="4"/>
      <c r="D35" s="4"/>
      <c r="E35" s="4"/>
      <c r="F35" s="4"/>
    </row>
    <row r="36" spans="1:6" ht="15" customHeight="1" x14ac:dyDescent="0.2">
      <c r="A36" s="3"/>
      <c r="B36" s="3"/>
      <c r="C36" s="3"/>
      <c r="D36" s="3"/>
      <c r="E36" s="3"/>
      <c r="F36" s="3"/>
    </row>
    <row r="37" spans="1:6" ht="15" customHeight="1" x14ac:dyDescent="0.2">
      <c r="A37" s="4"/>
      <c r="B37" s="4"/>
      <c r="C37" s="4"/>
      <c r="D37" s="4"/>
      <c r="E37" s="4"/>
      <c r="F37" s="4"/>
    </row>
    <row r="38" spans="1:6" ht="15" customHeight="1" x14ac:dyDescent="0.2">
      <c r="A38" s="3"/>
      <c r="B38" s="3"/>
      <c r="C38" s="3"/>
      <c r="D38" s="3"/>
      <c r="E38" s="3"/>
      <c r="F38" s="3"/>
    </row>
    <row r="39" spans="1:6" ht="15" customHeight="1" x14ac:dyDescent="0.2">
      <c r="A39" s="4"/>
      <c r="B39" s="4"/>
      <c r="C39" s="4"/>
      <c r="D39" s="4"/>
      <c r="E39" s="4"/>
      <c r="F39" s="4"/>
    </row>
    <row r="40" spans="1:6" ht="15" customHeight="1" x14ac:dyDescent="0.2">
      <c r="A40" s="3"/>
      <c r="B40" s="3"/>
      <c r="C40" s="3"/>
      <c r="D40" s="3"/>
      <c r="E40" s="3"/>
      <c r="F40" s="3"/>
    </row>
    <row r="41" spans="1:6" ht="15" customHeight="1" x14ac:dyDescent="0.2">
      <c r="A41" s="4"/>
      <c r="B41" s="4"/>
      <c r="C41" s="4"/>
      <c r="D41" s="4"/>
      <c r="E41" s="4"/>
      <c r="F41" s="4"/>
    </row>
    <row r="42" spans="1:6" ht="15" customHeight="1" x14ac:dyDescent="0.2">
      <c r="A42" s="3"/>
      <c r="B42" s="3"/>
      <c r="C42" s="3"/>
      <c r="D42" s="3"/>
      <c r="E42" s="3"/>
      <c r="F42" s="3"/>
    </row>
    <row r="43" spans="1:6" ht="15" customHeight="1" x14ac:dyDescent="0.2">
      <c r="A43" s="4"/>
      <c r="B43" s="4"/>
      <c r="C43" s="4"/>
      <c r="D43" s="4"/>
      <c r="E43" s="4"/>
      <c r="F43" s="4"/>
    </row>
    <row r="44" spans="1:6" ht="15" customHeight="1" x14ac:dyDescent="0.2">
      <c r="A44" s="3"/>
      <c r="B44" s="3"/>
      <c r="C44" s="3"/>
      <c r="D44" s="3"/>
      <c r="E44" s="3"/>
      <c r="F44" s="3"/>
    </row>
    <row r="45" spans="1:6" ht="15" customHeight="1" x14ac:dyDescent="0.2">
      <c r="A45" s="4"/>
      <c r="B45" s="4"/>
      <c r="C45" s="4"/>
      <c r="D45" s="4"/>
      <c r="E45" s="4"/>
      <c r="F45" s="4"/>
    </row>
    <row r="46" spans="1:6" ht="15" customHeight="1" x14ac:dyDescent="0.2">
      <c r="A46" s="3"/>
      <c r="B46" s="3"/>
      <c r="C46" s="3"/>
      <c r="D46" s="3"/>
      <c r="E46" s="3"/>
      <c r="F46" s="3"/>
    </row>
    <row r="47" spans="1:6" ht="15" customHeight="1" x14ac:dyDescent="0.2">
      <c r="A47" s="4"/>
      <c r="B47" s="4"/>
      <c r="C47" s="4"/>
      <c r="D47" s="4"/>
      <c r="E47" s="4"/>
      <c r="F47" s="4"/>
    </row>
    <row r="48" spans="1:6" ht="15" customHeight="1" x14ac:dyDescent="0.2">
      <c r="A48" s="3"/>
      <c r="B48" s="3"/>
      <c r="C48" s="3"/>
      <c r="D48" s="3"/>
      <c r="E48" s="3"/>
      <c r="F48" s="3"/>
    </row>
    <row r="49" spans="1:6" ht="15" customHeight="1" x14ac:dyDescent="0.2">
      <c r="A49" s="4"/>
      <c r="B49" s="4"/>
      <c r="C49" s="4"/>
      <c r="D49" s="4"/>
      <c r="E49" s="4"/>
      <c r="F49" s="4"/>
    </row>
    <row r="50" spans="1:6" ht="15" customHeight="1" x14ac:dyDescent="0.2">
      <c r="A50" s="3"/>
      <c r="B50" s="3"/>
      <c r="C50" s="3"/>
      <c r="D50" s="3"/>
      <c r="E50" s="3"/>
      <c r="F50" s="3"/>
    </row>
  </sheetData>
  <mergeCells count="2">
    <mergeCell ref="A2:F2"/>
    <mergeCell ref="A1:F1"/>
  </mergeCells>
  <dataValidations count="2">
    <dataValidation type="list" allowBlank="1" errorTitle="Invalid entry" error="Value not in list" sqref="C5:C500" xr:uid="{00000000-0002-0000-0600-000000000000}">
      <formula1>"Claude,Owner,System"</formula1>
      <formula2>0</formula2>
    </dataValidation>
    <dataValidation type="list" allowBlank="1" errorTitle="Invalid entry" error="Value not in list" sqref="D5:D500" xr:uid="{00000000-0002-0000-0600-000001000000}">
      <formula1>"Monthly Refresh,Event-driven Add,Add Account,Add Contact,Update Tier,Add Trigger,Log Activity,Log Meeting,Suppression Update,Freshsales Migration,Manual Correction"</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0"/>
  <sheetViews>
    <sheetView zoomScaleNormal="100" workbookViewId="0">
      <pane xSplit="2" ySplit="4" topLeftCell="C5" activePane="bottomRight" state="frozen"/>
      <selection pane="topRight" activeCell="C1" sqref="C1"/>
      <selection pane="bottomLeft" activeCell="A5" sqref="A5"/>
      <selection pane="bottomRight"/>
    </sheetView>
  </sheetViews>
  <sheetFormatPr baseColWidth="10" defaultColWidth="8.6640625" defaultRowHeight="15" x14ac:dyDescent="0.2"/>
  <cols>
    <col min="1" max="3" width="12" customWidth="1"/>
    <col min="4" max="5" width="22" customWidth="1"/>
    <col min="6" max="6" width="18" customWidth="1"/>
    <col min="7" max="7" width="40" customWidth="1"/>
    <col min="8" max="8" width="60" customWidth="1"/>
    <col min="9" max="9" width="20" customWidth="1"/>
    <col min="10" max="10" width="40" customWidth="1"/>
    <col min="11" max="13" width="14" customWidth="1"/>
  </cols>
  <sheetData>
    <row r="1" spans="1:13" ht="27.75" customHeight="1" x14ac:dyDescent="0.3">
      <c r="A1" s="20" t="s">
        <v>1084</v>
      </c>
      <c r="B1" s="21"/>
      <c r="C1" s="21"/>
      <c r="D1" s="21"/>
      <c r="E1" s="21"/>
      <c r="F1" s="21"/>
    </row>
    <row r="2" spans="1:13" ht="15" customHeight="1" x14ac:dyDescent="0.2">
      <c r="A2" s="22" t="s">
        <v>1085</v>
      </c>
      <c r="B2" s="21"/>
      <c r="C2" s="21"/>
      <c r="D2" s="21"/>
      <c r="E2" s="21"/>
      <c r="F2" s="21"/>
    </row>
    <row r="4" spans="1:13" ht="27.75" customHeight="1" x14ac:dyDescent="0.2">
      <c r="A4" s="2" t="s">
        <v>1086</v>
      </c>
      <c r="B4" s="2" t="s">
        <v>2</v>
      </c>
      <c r="C4" s="2" t="s">
        <v>743</v>
      </c>
      <c r="D4" s="2" t="s">
        <v>1087</v>
      </c>
      <c r="E4" s="2" t="s">
        <v>1088</v>
      </c>
      <c r="F4" s="2" t="s">
        <v>1089</v>
      </c>
      <c r="G4" s="2" t="s">
        <v>1090</v>
      </c>
      <c r="H4" s="2" t="s">
        <v>1091</v>
      </c>
      <c r="I4" s="2" t="s">
        <v>1092</v>
      </c>
      <c r="J4" s="2" t="s">
        <v>1093</v>
      </c>
      <c r="K4" s="2" t="s">
        <v>1094</v>
      </c>
      <c r="L4" s="2" t="s">
        <v>40</v>
      </c>
      <c r="M4" s="2" t="s">
        <v>41</v>
      </c>
    </row>
    <row r="5" spans="1:13" ht="15" customHeight="1" x14ac:dyDescent="0.2">
      <c r="A5" s="4"/>
      <c r="B5" s="4"/>
      <c r="C5" s="4"/>
      <c r="D5" s="4"/>
      <c r="E5" s="4"/>
      <c r="F5" s="4"/>
      <c r="G5" s="4"/>
      <c r="H5" s="4"/>
      <c r="I5" s="4"/>
      <c r="J5" s="4"/>
      <c r="K5" s="4"/>
      <c r="L5" s="4"/>
      <c r="M5" s="4"/>
    </row>
    <row r="6" spans="1:13" ht="15" customHeight="1" x14ac:dyDescent="0.2">
      <c r="A6" s="3"/>
      <c r="B6" s="3"/>
      <c r="C6" s="3"/>
      <c r="D6" s="3"/>
      <c r="E6" s="3"/>
      <c r="F6" s="3"/>
      <c r="G6" s="3"/>
      <c r="H6" s="3"/>
      <c r="I6" s="3"/>
      <c r="J6" s="3"/>
      <c r="K6" s="3"/>
      <c r="L6" s="3"/>
      <c r="M6" s="3"/>
    </row>
    <row r="7" spans="1:13" ht="15" customHeight="1" x14ac:dyDescent="0.2">
      <c r="A7" s="4"/>
      <c r="B7" s="4"/>
      <c r="C7" s="4"/>
      <c r="D7" s="4"/>
      <c r="E7" s="4"/>
      <c r="F7" s="4"/>
      <c r="G7" s="4"/>
      <c r="H7" s="4"/>
      <c r="I7" s="4"/>
      <c r="J7" s="4"/>
      <c r="K7" s="4"/>
      <c r="L7" s="4"/>
      <c r="M7" s="4"/>
    </row>
    <row r="8" spans="1:13" ht="15" customHeight="1" x14ac:dyDescent="0.2">
      <c r="A8" s="3"/>
      <c r="B8" s="3"/>
      <c r="C8" s="3"/>
      <c r="D8" s="3"/>
      <c r="E8" s="3"/>
      <c r="F8" s="3"/>
      <c r="G8" s="3"/>
      <c r="H8" s="3"/>
      <c r="I8" s="3"/>
      <c r="J8" s="3"/>
      <c r="K8" s="3"/>
      <c r="L8" s="3"/>
      <c r="M8" s="3"/>
    </row>
    <row r="9" spans="1:13" ht="15" customHeight="1" x14ac:dyDescent="0.2">
      <c r="A9" s="4"/>
      <c r="B9" s="4"/>
      <c r="C9" s="4"/>
      <c r="D9" s="4"/>
      <c r="E9" s="4"/>
      <c r="F9" s="4"/>
      <c r="G9" s="4"/>
      <c r="H9" s="4"/>
      <c r="I9" s="4"/>
      <c r="J9" s="4"/>
      <c r="K9" s="4"/>
      <c r="L9" s="4"/>
      <c r="M9" s="4"/>
    </row>
    <row r="10" spans="1:13" ht="15" customHeight="1" x14ac:dyDescent="0.2">
      <c r="A10" s="3"/>
      <c r="B10" s="3"/>
      <c r="C10" s="3"/>
      <c r="D10" s="3"/>
      <c r="E10" s="3"/>
      <c r="F10" s="3"/>
      <c r="G10" s="3"/>
      <c r="H10" s="3"/>
      <c r="I10" s="3"/>
      <c r="J10" s="3"/>
      <c r="K10" s="3"/>
      <c r="L10" s="3"/>
      <c r="M10" s="3"/>
    </row>
    <row r="11" spans="1:13" ht="15" customHeight="1" x14ac:dyDescent="0.2">
      <c r="A11" s="4"/>
      <c r="B11" s="4"/>
      <c r="C11" s="4"/>
      <c r="D11" s="4"/>
      <c r="E11" s="4"/>
      <c r="F11" s="4"/>
      <c r="G11" s="4"/>
      <c r="H11" s="4"/>
      <c r="I11" s="4"/>
      <c r="J11" s="4"/>
      <c r="K11" s="4"/>
      <c r="L11" s="4"/>
      <c r="M11" s="4"/>
    </row>
    <row r="12" spans="1:13" ht="15" customHeight="1" x14ac:dyDescent="0.2">
      <c r="A12" s="3"/>
      <c r="B12" s="3"/>
      <c r="C12" s="3"/>
      <c r="D12" s="3"/>
      <c r="E12" s="3"/>
      <c r="F12" s="3"/>
      <c r="G12" s="3"/>
      <c r="H12" s="3"/>
      <c r="I12" s="3"/>
      <c r="J12" s="3"/>
      <c r="K12" s="3"/>
      <c r="L12" s="3"/>
      <c r="M12" s="3"/>
    </row>
    <row r="13" spans="1:13" ht="15" customHeight="1" x14ac:dyDescent="0.2">
      <c r="A13" s="4"/>
      <c r="B13" s="4"/>
      <c r="C13" s="4"/>
      <c r="D13" s="4"/>
      <c r="E13" s="4"/>
      <c r="F13" s="4"/>
      <c r="G13" s="4"/>
      <c r="H13" s="4"/>
      <c r="I13" s="4"/>
      <c r="J13" s="4"/>
      <c r="K13" s="4"/>
      <c r="L13" s="4"/>
      <c r="M13" s="4"/>
    </row>
    <row r="14" spans="1:13" ht="15" customHeight="1" x14ac:dyDescent="0.2">
      <c r="A14" s="3"/>
      <c r="B14" s="3"/>
      <c r="C14" s="3"/>
      <c r="D14" s="3"/>
      <c r="E14" s="3"/>
      <c r="F14" s="3"/>
      <c r="G14" s="3"/>
      <c r="H14" s="3"/>
      <c r="I14" s="3"/>
      <c r="J14" s="3"/>
      <c r="K14" s="3"/>
      <c r="L14" s="3"/>
      <c r="M14" s="3"/>
    </row>
    <row r="15" spans="1:13" ht="15" customHeight="1" x14ac:dyDescent="0.2">
      <c r="A15" s="4"/>
      <c r="B15" s="4"/>
      <c r="C15" s="4"/>
      <c r="D15" s="4"/>
      <c r="E15" s="4"/>
      <c r="F15" s="4"/>
      <c r="G15" s="4"/>
      <c r="H15" s="4"/>
      <c r="I15" s="4"/>
      <c r="J15" s="4"/>
      <c r="K15" s="4"/>
      <c r="L15" s="4"/>
      <c r="M15" s="4"/>
    </row>
    <row r="16" spans="1:13" ht="15" customHeight="1" x14ac:dyDescent="0.2">
      <c r="A16" s="3"/>
      <c r="B16" s="3"/>
      <c r="C16" s="3"/>
      <c r="D16" s="3"/>
      <c r="E16" s="3"/>
      <c r="F16" s="3"/>
      <c r="G16" s="3"/>
      <c r="H16" s="3"/>
      <c r="I16" s="3"/>
      <c r="J16" s="3"/>
      <c r="K16" s="3"/>
      <c r="L16" s="3"/>
      <c r="M16" s="3"/>
    </row>
    <row r="17" spans="1:13" ht="15" customHeight="1" x14ac:dyDescent="0.2">
      <c r="A17" s="4"/>
      <c r="B17" s="4"/>
      <c r="C17" s="4"/>
      <c r="D17" s="4"/>
      <c r="E17" s="4"/>
      <c r="F17" s="4"/>
      <c r="G17" s="4"/>
      <c r="H17" s="4"/>
      <c r="I17" s="4"/>
      <c r="J17" s="4"/>
      <c r="K17" s="4"/>
      <c r="L17" s="4"/>
      <c r="M17" s="4"/>
    </row>
    <row r="18" spans="1:13" ht="15" customHeight="1" x14ac:dyDescent="0.2">
      <c r="A18" s="3"/>
      <c r="B18" s="3"/>
      <c r="C18" s="3"/>
      <c r="D18" s="3"/>
      <c r="E18" s="3"/>
      <c r="F18" s="3"/>
      <c r="G18" s="3"/>
      <c r="H18" s="3"/>
      <c r="I18" s="3"/>
      <c r="J18" s="3"/>
      <c r="K18" s="3"/>
      <c r="L18" s="3"/>
      <c r="M18" s="3"/>
    </row>
    <row r="19" spans="1:13" ht="15" customHeight="1" x14ac:dyDescent="0.2">
      <c r="A19" s="4"/>
      <c r="B19" s="4"/>
      <c r="C19" s="4"/>
      <c r="D19" s="4"/>
      <c r="E19" s="4"/>
      <c r="F19" s="4"/>
      <c r="G19" s="4"/>
      <c r="H19" s="4"/>
      <c r="I19" s="4"/>
      <c r="J19" s="4"/>
      <c r="K19" s="4"/>
      <c r="L19" s="4"/>
      <c r="M19" s="4"/>
    </row>
    <row r="20" spans="1:13" ht="15" customHeight="1" x14ac:dyDescent="0.2">
      <c r="A20" s="3"/>
      <c r="B20" s="3"/>
      <c r="C20" s="3"/>
      <c r="D20" s="3"/>
      <c r="E20" s="3"/>
      <c r="F20" s="3"/>
      <c r="G20" s="3"/>
      <c r="H20" s="3"/>
      <c r="I20" s="3"/>
      <c r="J20" s="3"/>
      <c r="K20" s="3"/>
      <c r="L20" s="3"/>
      <c r="M20" s="3"/>
    </row>
    <row r="21" spans="1:13" ht="15" customHeight="1" x14ac:dyDescent="0.2">
      <c r="A21" s="4"/>
      <c r="B21" s="4"/>
      <c r="C21" s="4"/>
      <c r="D21" s="4"/>
      <c r="E21" s="4"/>
      <c r="F21" s="4"/>
      <c r="G21" s="4"/>
      <c r="H21" s="4"/>
      <c r="I21" s="4"/>
      <c r="J21" s="4"/>
      <c r="K21" s="4"/>
      <c r="L21" s="4"/>
      <c r="M21" s="4"/>
    </row>
    <row r="22" spans="1:13" ht="15" customHeight="1" x14ac:dyDescent="0.2">
      <c r="A22" s="3"/>
      <c r="B22" s="3"/>
      <c r="C22" s="3"/>
      <c r="D22" s="3"/>
      <c r="E22" s="3"/>
      <c r="F22" s="3"/>
      <c r="G22" s="3"/>
      <c r="H22" s="3"/>
      <c r="I22" s="3"/>
      <c r="J22" s="3"/>
      <c r="K22" s="3"/>
      <c r="L22" s="3"/>
      <c r="M22" s="3"/>
    </row>
    <row r="23" spans="1:13" ht="15" customHeight="1" x14ac:dyDescent="0.2">
      <c r="A23" s="4"/>
      <c r="B23" s="4"/>
      <c r="C23" s="4"/>
      <c r="D23" s="4"/>
      <c r="E23" s="4"/>
      <c r="F23" s="4"/>
      <c r="G23" s="4"/>
      <c r="H23" s="4"/>
      <c r="I23" s="4"/>
      <c r="J23" s="4"/>
      <c r="K23" s="4"/>
      <c r="L23" s="4"/>
      <c r="M23" s="4"/>
    </row>
    <row r="24" spans="1:13" ht="15" customHeight="1" x14ac:dyDescent="0.2">
      <c r="A24" s="3"/>
      <c r="B24" s="3"/>
      <c r="C24" s="3"/>
      <c r="D24" s="3"/>
      <c r="E24" s="3"/>
      <c r="F24" s="3"/>
      <c r="G24" s="3"/>
      <c r="H24" s="3"/>
      <c r="I24" s="3"/>
      <c r="J24" s="3"/>
      <c r="K24" s="3"/>
      <c r="L24" s="3"/>
      <c r="M24" s="3"/>
    </row>
    <row r="25" spans="1:13" ht="15" customHeight="1" x14ac:dyDescent="0.2">
      <c r="A25" s="4"/>
      <c r="B25" s="4"/>
      <c r="C25" s="4"/>
      <c r="D25" s="4"/>
      <c r="E25" s="4"/>
      <c r="F25" s="4"/>
      <c r="G25" s="4"/>
      <c r="H25" s="4"/>
      <c r="I25" s="4"/>
      <c r="J25" s="4"/>
      <c r="K25" s="4"/>
      <c r="L25" s="4"/>
      <c r="M25" s="4"/>
    </row>
    <row r="26" spans="1:13" ht="15" customHeight="1" x14ac:dyDescent="0.2">
      <c r="A26" s="3"/>
      <c r="B26" s="3"/>
      <c r="C26" s="3"/>
      <c r="D26" s="3"/>
      <c r="E26" s="3"/>
      <c r="F26" s="3"/>
      <c r="G26" s="3"/>
      <c r="H26" s="3"/>
      <c r="I26" s="3"/>
      <c r="J26" s="3"/>
      <c r="K26" s="3"/>
      <c r="L26" s="3"/>
      <c r="M26" s="3"/>
    </row>
    <row r="27" spans="1:13" ht="15" customHeight="1" x14ac:dyDescent="0.2">
      <c r="A27" s="4"/>
      <c r="B27" s="4"/>
      <c r="C27" s="4"/>
      <c r="D27" s="4"/>
      <c r="E27" s="4"/>
      <c r="F27" s="4"/>
      <c r="G27" s="4"/>
      <c r="H27" s="4"/>
      <c r="I27" s="4"/>
      <c r="J27" s="4"/>
      <c r="K27" s="4"/>
      <c r="L27" s="4"/>
      <c r="M27" s="4"/>
    </row>
    <row r="28" spans="1:13" ht="15" customHeight="1" x14ac:dyDescent="0.2">
      <c r="A28" s="3"/>
      <c r="B28" s="3"/>
      <c r="C28" s="3"/>
      <c r="D28" s="3"/>
      <c r="E28" s="3"/>
      <c r="F28" s="3"/>
      <c r="G28" s="3"/>
      <c r="H28" s="3"/>
      <c r="I28" s="3"/>
      <c r="J28" s="3"/>
      <c r="K28" s="3"/>
      <c r="L28" s="3"/>
      <c r="M28" s="3"/>
    </row>
    <row r="29" spans="1:13" ht="15" customHeight="1" x14ac:dyDescent="0.2">
      <c r="A29" s="4"/>
      <c r="B29" s="4"/>
      <c r="C29" s="4"/>
      <c r="D29" s="4"/>
      <c r="E29" s="4"/>
      <c r="F29" s="4"/>
      <c r="G29" s="4"/>
      <c r="H29" s="4"/>
      <c r="I29" s="4"/>
      <c r="J29" s="4"/>
      <c r="K29" s="4"/>
      <c r="L29" s="4"/>
      <c r="M29" s="4"/>
    </row>
    <row r="30" spans="1:13" ht="15" customHeight="1" x14ac:dyDescent="0.2">
      <c r="A30" s="3"/>
      <c r="B30" s="3"/>
      <c r="C30" s="3"/>
      <c r="D30" s="3"/>
      <c r="E30" s="3"/>
      <c r="F30" s="3"/>
      <c r="G30" s="3"/>
      <c r="H30" s="3"/>
      <c r="I30" s="3"/>
      <c r="J30" s="3"/>
      <c r="K30" s="3"/>
      <c r="L30" s="3"/>
      <c r="M30" s="3"/>
    </row>
    <row r="31" spans="1:13" ht="15" customHeight="1" x14ac:dyDescent="0.2">
      <c r="A31" s="4"/>
      <c r="B31" s="4"/>
      <c r="C31" s="4"/>
      <c r="D31" s="4"/>
      <c r="E31" s="4"/>
      <c r="F31" s="4"/>
      <c r="G31" s="4"/>
      <c r="H31" s="4"/>
      <c r="I31" s="4"/>
      <c r="J31" s="4"/>
      <c r="K31" s="4"/>
      <c r="L31" s="4"/>
      <c r="M31" s="4"/>
    </row>
    <row r="32" spans="1:13" ht="15" customHeight="1" x14ac:dyDescent="0.2">
      <c r="A32" s="3"/>
      <c r="B32" s="3"/>
      <c r="C32" s="3"/>
      <c r="D32" s="3"/>
      <c r="E32" s="3"/>
      <c r="F32" s="3"/>
      <c r="G32" s="3"/>
      <c r="H32" s="3"/>
      <c r="I32" s="3"/>
      <c r="J32" s="3"/>
      <c r="K32" s="3"/>
      <c r="L32" s="3"/>
      <c r="M32" s="3"/>
    </row>
    <row r="33" spans="1:13" ht="15" customHeight="1" x14ac:dyDescent="0.2">
      <c r="A33" s="4"/>
      <c r="B33" s="4"/>
      <c r="C33" s="4"/>
      <c r="D33" s="4"/>
      <c r="E33" s="4"/>
      <c r="F33" s="4"/>
      <c r="G33" s="4"/>
      <c r="H33" s="4"/>
      <c r="I33" s="4"/>
      <c r="J33" s="4"/>
      <c r="K33" s="4"/>
      <c r="L33" s="4"/>
      <c r="M33" s="4"/>
    </row>
    <row r="34" spans="1:13" ht="15" customHeight="1" x14ac:dyDescent="0.2">
      <c r="A34" s="3"/>
      <c r="B34" s="3"/>
      <c r="C34" s="3"/>
      <c r="D34" s="3"/>
      <c r="E34" s="3"/>
      <c r="F34" s="3"/>
      <c r="G34" s="3"/>
      <c r="H34" s="3"/>
      <c r="I34" s="3"/>
      <c r="J34" s="3"/>
      <c r="K34" s="3"/>
      <c r="L34" s="3"/>
      <c r="M34" s="3"/>
    </row>
    <row r="35" spans="1:13" ht="15" customHeight="1" x14ac:dyDescent="0.2">
      <c r="A35" s="4"/>
      <c r="B35" s="4"/>
      <c r="C35" s="4"/>
      <c r="D35" s="4"/>
      <c r="E35" s="4"/>
      <c r="F35" s="4"/>
      <c r="G35" s="4"/>
      <c r="H35" s="4"/>
      <c r="I35" s="4"/>
      <c r="J35" s="4"/>
      <c r="K35" s="4"/>
      <c r="L35" s="4"/>
      <c r="M35" s="4"/>
    </row>
    <row r="36" spans="1:13" ht="15" customHeight="1" x14ac:dyDescent="0.2">
      <c r="A36" s="3"/>
      <c r="B36" s="3"/>
      <c r="C36" s="3"/>
      <c r="D36" s="3"/>
      <c r="E36" s="3"/>
      <c r="F36" s="3"/>
      <c r="G36" s="3"/>
      <c r="H36" s="3"/>
      <c r="I36" s="3"/>
      <c r="J36" s="3"/>
      <c r="K36" s="3"/>
      <c r="L36" s="3"/>
      <c r="M36" s="3"/>
    </row>
    <row r="37" spans="1:13" ht="15" customHeight="1" x14ac:dyDescent="0.2">
      <c r="A37" s="4"/>
      <c r="B37" s="4"/>
      <c r="C37" s="4"/>
      <c r="D37" s="4"/>
      <c r="E37" s="4"/>
      <c r="F37" s="4"/>
      <c r="G37" s="4"/>
      <c r="H37" s="4"/>
      <c r="I37" s="4"/>
      <c r="J37" s="4"/>
      <c r="K37" s="4"/>
      <c r="L37" s="4"/>
      <c r="M37" s="4"/>
    </row>
    <row r="38" spans="1:13" ht="15" customHeight="1" x14ac:dyDescent="0.2">
      <c r="A38" s="3"/>
      <c r="B38" s="3"/>
      <c r="C38" s="3"/>
      <c r="D38" s="3"/>
      <c r="E38" s="3"/>
      <c r="F38" s="3"/>
      <c r="G38" s="3"/>
      <c r="H38" s="3"/>
      <c r="I38" s="3"/>
      <c r="J38" s="3"/>
      <c r="K38" s="3"/>
      <c r="L38" s="3"/>
      <c r="M38" s="3"/>
    </row>
    <row r="39" spans="1:13" ht="15" customHeight="1" x14ac:dyDescent="0.2">
      <c r="A39" s="4"/>
      <c r="B39" s="4"/>
      <c r="C39" s="4"/>
      <c r="D39" s="4"/>
      <c r="E39" s="4"/>
      <c r="F39" s="4"/>
      <c r="G39" s="4"/>
      <c r="H39" s="4"/>
      <c r="I39" s="4"/>
      <c r="J39" s="4"/>
      <c r="K39" s="4"/>
      <c r="L39" s="4"/>
      <c r="M39" s="4"/>
    </row>
    <row r="40" spans="1:13" ht="15" customHeight="1" x14ac:dyDescent="0.2">
      <c r="A40" s="3"/>
      <c r="B40" s="3"/>
      <c r="C40" s="3"/>
      <c r="D40" s="3"/>
      <c r="E40" s="3"/>
      <c r="F40" s="3"/>
      <c r="G40" s="3"/>
      <c r="H40" s="3"/>
      <c r="I40" s="3"/>
      <c r="J40" s="3"/>
      <c r="K40" s="3"/>
      <c r="L40" s="3"/>
      <c r="M40" s="3"/>
    </row>
    <row r="41" spans="1:13" ht="15" customHeight="1" x14ac:dyDescent="0.2">
      <c r="A41" s="4"/>
      <c r="B41" s="4"/>
      <c r="C41" s="4"/>
      <c r="D41" s="4"/>
      <c r="E41" s="4"/>
      <c r="F41" s="4"/>
      <c r="G41" s="4"/>
      <c r="H41" s="4"/>
      <c r="I41" s="4"/>
      <c r="J41" s="4"/>
      <c r="K41" s="4"/>
      <c r="L41" s="4"/>
      <c r="M41" s="4"/>
    </row>
    <row r="42" spans="1:13" ht="15" customHeight="1" x14ac:dyDescent="0.2">
      <c r="A42" s="3"/>
      <c r="B42" s="3"/>
      <c r="C42" s="3"/>
      <c r="D42" s="3"/>
      <c r="E42" s="3"/>
      <c r="F42" s="3"/>
      <c r="G42" s="3"/>
      <c r="H42" s="3"/>
      <c r="I42" s="3"/>
      <c r="J42" s="3"/>
      <c r="K42" s="3"/>
      <c r="L42" s="3"/>
      <c r="M42" s="3"/>
    </row>
    <row r="43" spans="1:13" ht="15" customHeight="1" x14ac:dyDescent="0.2">
      <c r="A43" s="4"/>
      <c r="B43" s="4"/>
      <c r="C43" s="4"/>
      <c r="D43" s="4"/>
      <c r="E43" s="4"/>
      <c r="F43" s="4"/>
      <c r="G43" s="4"/>
      <c r="H43" s="4"/>
      <c r="I43" s="4"/>
      <c r="J43" s="4"/>
      <c r="K43" s="4"/>
      <c r="L43" s="4"/>
      <c r="M43" s="4"/>
    </row>
    <row r="44" spans="1:13" ht="15" customHeight="1" x14ac:dyDescent="0.2">
      <c r="A44" s="3"/>
      <c r="B44" s="3"/>
      <c r="C44" s="3"/>
      <c r="D44" s="3"/>
      <c r="E44" s="3"/>
      <c r="F44" s="3"/>
      <c r="G44" s="3"/>
      <c r="H44" s="3"/>
      <c r="I44" s="3"/>
      <c r="J44" s="3"/>
      <c r="K44" s="3"/>
      <c r="L44" s="3"/>
      <c r="M44" s="3"/>
    </row>
    <row r="45" spans="1:13" ht="15" customHeight="1" x14ac:dyDescent="0.2">
      <c r="A45" s="4"/>
      <c r="B45" s="4"/>
      <c r="C45" s="4"/>
      <c r="D45" s="4"/>
      <c r="E45" s="4"/>
      <c r="F45" s="4"/>
      <c r="G45" s="4"/>
      <c r="H45" s="4"/>
      <c r="I45" s="4"/>
      <c r="J45" s="4"/>
      <c r="K45" s="4"/>
      <c r="L45" s="4"/>
      <c r="M45" s="4"/>
    </row>
    <row r="46" spans="1:13" ht="15" customHeight="1" x14ac:dyDescent="0.2">
      <c r="A46" s="3"/>
      <c r="B46" s="3"/>
      <c r="C46" s="3"/>
      <c r="D46" s="3"/>
      <c r="E46" s="3"/>
      <c r="F46" s="3"/>
      <c r="G46" s="3"/>
      <c r="H46" s="3"/>
      <c r="I46" s="3"/>
      <c r="J46" s="3"/>
      <c r="K46" s="3"/>
      <c r="L46" s="3"/>
      <c r="M46" s="3"/>
    </row>
    <row r="47" spans="1:13" ht="15" customHeight="1" x14ac:dyDescent="0.2">
      <c r="A47" s="4"/>
      <c r="B47" s="4"/>
      <c r="C47" s="4"/>
      <c r="D47" s="4"/>
      <c r="E47" s="4"/>
      <c r="F47" s="4"/>
      <c r="G47" s="4"/>
      <c r="H47" s="4"/>
      <c r="I47" s="4"/>
      <c r="J47" s="4"/>
      <c r="K47" s="4"/>
      <c r="L47" s="4"/>
      <c r="M47" s="4"/>
    </row>
    <row r="48" spans="1:13" ht="15" customHeight="1" x14ac:dyDescent="0.2">
      <c r="A48" s="3"/>
      <c r="B48" s="3"/>
      <c r="C48" s="3"/>
      <c r="D48" s="3"/>
      <c r="E48" s="3"/>
      <c r="F48" s="3"/>
      <c r="G48" s="3"/>
      <c r="H48" s="3"/>
      <c r="I48" s="3"/>
      <c r="J48" s="3"/>
      <c r="K48" s="3"/>
      <c r="L48" s="3"/>
      <c r="M48" s="3"/>
    </row>
    <row r="49" spans="1:13" ht="15" customHeight="1" x14ac:dyDescent="0.2">
      <c r="A49" s="4"/>
      <c r="B49" s="4"/>
      <c r="C49" s="4"/>
      <c r="D49" s="4"/>
      <c r="E49" s="4"/>
      <c r="F49" s="4"/>
      <c r="G49" s="4"/>
      <c r="H49" s="4"/>
      <c r="I49" s="4"/>
      <c r="J49" s="4"/>
      <c r="K49" s="4"/>
      <c r="L49" s="4"/>
      <c r="M49" s="4"/>
    </row>
    <row r="50" spans="1:13" ht="15" customHeight="1" x14ac:dyDescent="0.2">
      <c r="A50" s="3"/>
      <c r="B50" s="3"/>
      <c r="C50" s="3"/>
      <c r="D50" s="3"/>
      <c r="E50" s="3"/>
      <c r="F50" s="3"/>
      <c r="G50" s="3"/>
      <c r="H50" s="3"/>
      <c r="I50" s="3"/>
      <c r="J50" s="3"/>
      <c r="K50" s="3"/>
      <c r="L50" s="3"/>
      <c r="M50" s="3"/>
    </row>
    <row r="51" spans="1:13" ht="15" customHeight="1" x14ac:dyDescent="0.2">
      <c r="A51" s="4"/>
      <c r="B51" s="4"/>
      <c r="C51" s="4"/>
      <c r="D51" s="4"/>
      <c r="E51" s="4"/>
      <c r="F51" s="4"/>
      <c r="G51" s="4"/>
      <c r="H51" s="4"/>
      <c r="I51" s="4"/>
      <c r="J51" s="4"/>
      <c r="K51" s="4"/>
      <c r="L51" s="4"/>
      <c r="M51" s="4"/>
    </row>
    <row r="52" spans="1:13" ht="15" customHeight="1" x14ac:dyDescent="0.2">
      <c r="A52" s="3"/>
      <c r="B52" s="3"/>
      <c r="C52" s="3"/>
      <c r="D52" s="3"/>
      <c r="E52" s="3"/>
      <c r="F52" s="3"/>
      <c r="G52" s="3"/>
      <c r="H52" s="3"/>
      <c r="I52" s="3"/>
      <c r="J52" s="3"/>
      <c r="K52" s="3"/>
      <c r="L52" s="3"/>
      <c r="M52" s="3"/>
    </row>
    <row r="53" spans="1:13" ht="15" customHeight="1" x14ac:dyDescent="0.2">
      <c r="A53" s="4"/>
      <c r="B53" s="4"/>
      <c r="C53" s="4"/>
      <c r="D53" s="4"/>
      <c r="E53" s="4"/>
      <c r="F53" s="4"/>
      <c r="G53" s="4"/>
      <c r="H53" s="4"/>
      <c r="I53" s="4"/>
      <c r="J53" s="4"/>
      <c r="K53" s="4"/>
      <c r="L53" s="4"/>
      <c r="M53" s="4"/>
    </row>
    <row r="54" spans="1:13" ht="15" customHeight="1" x14ac:dyDescent="0.2">
      <c r="A54" s="3"/>
      <c r="B54" s="3"/>
      <c r="C54" s="3"/>
      <c r="D54" s="3"/>
      <c r="E54" s="3"/>
      <c r="F54" s="3"/>
      <c r="G54" s="3"/>
      <c r="H54" s="3"/>
      <c r="I54" s="3"/>
      <c r="J54" s="3"/>
      <c r="K54" s="3"/>
      <c r="L54" s="3"/>
      <c r="M54" s="3"/>
    </row>
    <row r="55" spans="1:13" ht="15" customHeight="1" x14ac:dyDescent="0.2">
      <c r="A55" s="4"/>
      <c r="B55" s="4"/>
      <c r="C55" s="4"/>
      <c r="D55" s="4"/>
      <c r="E55" s="4"/>
      <c r="F55" s="4"/>
      <c r="G55" s="4"/>
      <c r="H55" s="4"/>
      <c r="I55" s="4"/>
      <c r="J55" s="4"/>
      <c r="K55" s="4"/>
      <c r="L55" s="4"/>
      <c r="M55" s="4"/>
    </row>
    <row r="56" spans="1:13" ht="15" customHeight="1" x14ac:dyDescent="0.2">
      <c r="A56" s="3"/>
      <c r="B56" s="3"/>
      <c r="C56" s="3"/>
      <c r="D56" s="3"/>
      <c r="E56" s="3"/>
      <c r="F56" s="3"/>
      <c r="G56" s="3"/>
      <c r="H56" s="3"/>
      <c r="I56" s="3"/>
      <c r="J56" s="3"/>
      <c r="K56" s="3"/>
      <c r="L56" s="3"/>
      <c r="M56" s="3"/>
    </row>
    <row r="57" spans="1:13" ht="15" customHeight="1" x14ac:dyDescent="0.2">
      <c r="A57" s="4"/>
      <c r="B57" s="4"/>
      <c r="C57" s="4"/>
      <c r="D57" s="4"/>
      <c r="E57" s="4"/>
      <c r="F57" s="4"/>
      <c r="G57" s="4"/>
      <c r="H57" s="4"/>
      <c r="I57" s="4"/>
      <c r="J57" s="4"/>
      <c r="K57" s="4"/>
      <c r="L57" s="4"/>
      <c r="M57" s="4"/>
    </row>
    <row r="58" spans="1:13" ht="15" customHeight="1" x14ac:dyDescent="0.2">
      <c r="A58" s="3"/>
      <c r="B58" s="3"/>
      <c r="C58" s="3"/>
      <c r="D58" s="3"/>
      <c r="E58" s="3"/>
      <c r="F58" s="3"/>
      <c r="G58" s="3"/>
      <c r="H58" s="3"/>
      <c r="I58" s="3"/>
      <c r="J58" s="3"/>
      <c r="K58" s="3"/>
      <c r="L58" s="3"/>
      <c r="M58" s="3"/>
    </row>
    <row r="59" spans="1:13" ht="15" customHeight="1" x14ac:dyDescent="0.2">
      <c r="A59" s="4"/>
      <c r="B59" s="4"/>
      <c r="C59" s="4"/>
      <c r="D59" s="4"/>
      <c r="E59" s="4"/>
      <c r="F59" s="4"/>
      <c r="G59" s="4"/>
      <c r="H59" s="4"/>
      <c r="I59" s="4"/>
      <c r="J59" s="4"/>
      <c r="K59" s="4"/>
      <c r="L59" s="4"/>
      <c r="M59" s="4"/>
    </row>
    <row r="60" spans="1:13" ht="15" customHeight="1" x14ac:dyDescent="0.2">
      <c r="A60" s="3"/>
      <c r="B60" s="3"/>
      <c r="C60" s="3"/>
      <c r="D60" s="3"/>
      <c r="E60" s="3"/>
      <c r="F60" s="3"/>
      <c r="G60" s="3"/>
      <c r="H60" s="3"/>
      <c r="I60" s="3"/>
      <c r="J60" s="3"/>
      <c r="K60" s="3"/>
      <c r="L60" s="3"/>
      <c r="M60" s="3"/>
    </row>
    <row r="61" spans="1:13" ht="15" customHeight="1" x14ac:dyDescent="0.2">
      <c r="A61" s="4"/>
      <c r="B61" s="4"/>
      <c r="C61" s="4"/>
      <c r="D61" s="4"/>
      <c r="E61" s="4"/>
      <c r="F61" s="4"/>
      <c r="G61" s="4"/>
      <c r="H61" s="4"/>
      <c r="I61" s="4"/>
      <c r="J61" s="4"/>
      <c r="K61" s="4"/>
      <c r="L61" s="4"/>
      <c r="M61" s="4"/>
    </row>
    <row r="62" spans="1:13" ht="15" customHeight="1" x14ac:dyDescent="0.2">
      <c r="A62" s="3"/>
      <c r="B62" s="3"/>
      <c r="C62" s="3"/>
      <c r="D62" s="3"/>
      <c r="E62" s="3"/>
      <c r="F62" s="3"/>
      <c r="G62" s="3"/>
      <c r="H62" s="3"/>
      <c r="I62" s="3"/>
      <c r="J62" s="3"/>
      <c r="K62" s="3"/>
      <c r="L62" s="3"/>
      <c r="M62" s="3"/>
    </row>
    <row r="63" spans="1:13" ht="15" customHeight="1" x14ac:dyDescent="0.2">
      <c r="A63" s="4"/>
      <c r="B63" s="4"/>
      <c r="C63" s="4"/>
      <c r="D63" s="4"/>
      <c r="E63" s="4"/>
      <c r="F63" s="4"/>
      <c r="G63" s="4"/>
      <c r="H63" s="4"/>
      <c r="I63" s="4"/>
      <c r="J63" s="4"/>
      <c r="K63" s="4"/>
      <c r="L63" s="4"/>
      <c r="M63" s="4"/>
    </row>
    <row r="64" spans="1:13" ht="15" customHeight="1" x14ac:dyDescent="0.2">
      <c r="A64" s="3"/>
      <c r="B64" s="3"/>
      <c r="C64" s="3"/>
      <c r="D64" s="3"/>
      <c r="E64" s="3"/>
      <c r="F64" s="3"/>
      <c r="G64" s="3"/>
      <c r="H64" s="3"/>
      <c r="I64" s="3"/>
      <c r="J64" s="3"/>
      <c r="K64" s="3"/>
      <c r="L64" s="3"/>
      <c r="M64" s="3"/>
    </row>
    <row r="65" spans="1:13" ht="15" customHeight="1" x14ac:dyDescent="0.2">
      <c r="A65" s="4"/>
      <c r="B65" s="4"/>
      <c r="C65" s="4"/>
      <c r="D65" s="4"/>
      <c r="E65" s="4"/>
      <c r="F65" s="4"/>
      <c r="G65" s="4"/>
      <c r="H65" s="4"/>
      <c r="I65" s="4"/>
      <c r="J65" s="4"/>
      <c r="K65" s="4"/>
      <c r="L65" s="4"/>
      <c r="M65" s="4"/>
    </row>
    <row r="66" spans="1:13" ht="15" customHeight="1" x14ac:dyDescent="0.2">
      <c r="A66" s="3"/>
      <c r="B66" s="3"/>
      <c r="C66" s="3"/>
      <c r="D66" s="3"/>
      <c r="E66" s="3"/>
      <c r="F66" s="3"/>
      <c r="G66" s="3"/>
      <c r="H66" s="3"/>
      <c r="I66" s="3"/>
      <c r="J66" s="3"/>
      <c r="K66" s="3"/>
      <c r="L66" s="3"/>
      <c r="M66" s="3"/>
    </row>
    <row r="67" spans="1:13" ht="15" customHeight="1" x14ac:dyDescent="0.2">
      <c r="A67" s="4"/>
      <c r="B67" s="4"/>
      <c r="C67" s="4"/>
      <c r="D67" s="4"/>
      <c r="E67" s="4"/>
      <c r="F67" s="4"/>
      <c r="G67" s="4"/>
      <c r="H67" s="4"/>
      <c r="I67" s="4"/>
      <c r="J67" s="4"/>
      <c r="K67" s="4"/>
      <c r="L67" s="4"/>
      <c r="M67" s="4"/>
    </row>
    <row r="68" spans="1:13" ht="15" customHeight="1" x14ac:dyDescent="0.2">
      <c r="A68" s="3"/>
      <c r="B68" s="3"/>
      <c r="C68" s="3"/>
      <c r="D68" s="3"/>
      <c r="E68" s="3"/>
      <c r="F68" s="3"/>
      <c r="G68" s="3"/>
      <c r="H68" s="3"/>
      <c r="I68" s="3"/>
      <c r="J68" s="3"/>
      <c r="K68" s="3"/>
      <c r="L68" s="3"/>
      <c r="M68" s="3"/>
    </row>
    <row r="69" spans="1:13" ht="15" customHeight="1" x14ac:dyDescent="0.2">
      <c r="A69" s="4"/>
      <c r="B69" s="4"/>
      <c r="C69" s="4"/>
      <c r="D69" s="4"/>
      <c r="E69" s="4"/>
      <c r="F69" s="4"/>
      <c r="G69" s="4"/>
      <c r="H69" s="4"/>
      <c r="I69" s="4"/>
      <c r="J69" s="4"/>
      <c r="K69" s="4"/>
      <c r="L69" s="4"/>
      <c r="M69" s="4"/>
    </row>
    <row r="70" spans="1:13" ht="15" customHeight="1" x14ac:dyDescent="0.2">
      <c r="A70" s="3"/>
      <c r="B70" s="3"/>
      <c r="C70" s="3"/>
      <c r="D70" s="3"/>
      <c r="E70" s="3"/>
      <c r="F70" s="3"/>
      <c r="G70" s="3"/>
      <c r="H70" s="3"/>
      <c r="I70" s="3"/>
      <c r="J70" s="3"/>
      <c r="K70" s="3"/>
      <c r="L70" s="3"/>
      <c r="M70" s="3"/>
    </row>
    <row r="71" spans="1:13" ht="15" customHeight="1" x14ac:dyDescent="0.2">
      <c r="A71" s="4"/>
      <c r="B71" s="4"/>
      <c r="C71" s="4"/>
      <c r="D71" s="4"/>
      <c r="E71" s="4"/>
      <c r="F71" s="4"/>
      <c r="G71" s="4"/>
      <c r="H71" s="4"/>
      <c r="I71" s="4"/>
      <c r="J71" s="4"/>
      <c r="K71" s="4"/>
      <c r="L71" s="4"/>
      <c r="M71" s="4"/>
    </row>
    <row r="72" spans="1:13" ht="15" customHeight="1" x14ac:dyDescent="0.2">
      <c r="A72" s="3"/>
      <c r="B72" s="3"/>
      <c r="C72" s="3"/>
      <c r="D72" s="3"/>
      <c r="E72" s="3"/>
      <c r="F72" s="3"/>
      <c r="G72" s="3"/>
      <c r="H72" s="3"/>
      <c r="I72" s="3"/>
      <c r="J72" s="3"/>
      <c r="K72" s="3"/>
      <c r="L72" s="3"/>
      <c r="M72" s="3"/>
    </row>
    <row r="73" spans="1:13" ht="15" customHeight="1" x14ac:dyDescent="0.2">
      <c r="A73" s="4"/>
      <c r="B73" s="4"/>
      <c r="C73" s="4"/>
      <c r="D73" s="4"/>
      <c r="E73" s="4"/>
      <c r="F73" s="4"/>
      <c r="G73" s="4"/>
      <c r="H73" s="4"/>
      <c r="I73" s="4"/>
      <c r="J73" s="4"/>
      <c r="K73" s="4"/>
      <c r="L73" s="4"/>
      <c r="M73" s="4"/>
    </row>
    <row r="74" spans="1:13" ht="15" customHeight="1" x14ac:dyDescent="0.2">
      <c r="A74" s="3"/>
      <c r="B74" s="3"/>
      <c r="C74" s="3"/>
      <c r="D74" s="3"/>
      <c r="E74" s="3"/>
      <c r="F74" s="3"/>
      <c r="G74" s="3"/>
      <c r="H74" s="3"/>
      <c r="I74" s="3"/>
      <c r="J74" s="3"/>
      <c r="K74" s="3"/>
      <c r="L74" s="3"/>
      <c r="M74" s="3"/>
    </row>
    <row r="75" spans="1:13" ht="15" customHeight="1" x14ac:dyDescent="0.2">
      <c r="A75" s="4"/>
      <c r="B75" s="4"/>
      <c r="C75" s="4"/>
      <c r="D75" s="4"/>
      <c r="E75" s="4"/>
      <c r="F75" s="4"/>
      <c r="G75" s="4"/>
      <c r="H75" s="4"/>
      <c r="I75" s="4"/>
      <c r="J75" s="4"/>
      <c r="K75" s="4"/>
      <c r="L75" s="4"/>
      <c r="M75" s="4"/>
    </row>
    <row r="76" spans="1:13" ht="15" customHeight="1" x14ac:dyDescent="0.2">
      <c r="A76" s="3"/>
      <c r="B76" s="3"/>
      <c r="C76" s="3"/>
      <c r="D76" s="3"/>
      <c r="E76" s="3"/>
      <c r="F76" s="3"/>
      <c r="G76" s="3"/>
      <c r="H76" s="3"/>
      <c r="I76" s="3"/>
      <c r="J76" s="3"/>
      <c r="K76" s="3"/>
      <c r="L76" s="3"/>
      <c r="M76" s="3"/>
    </row>
    <row r="77" spans="1:13" ht="15" customHeight="1" x14ac:dyDescent="0.2">
      <c r="A77" s="4"/>
      <c r="B77" s="4"/>
      <c r="C77" s="4"/>
      <c r="D77" s="4"/>
      <c r="E77" s="4"/>
      <c r="F77" s="4"/>
      <c r="G77" s="4"/>
      <c r="H77" s="4"/>
      <c r="I77" s="4"/>
      <c r="J77" s="4"/>
      <c r="K77" s="4"/>
      <c r="L77" s="4"/>
      <c r="M77" s="4"/>
    </row>
    <row r="78" spans="1:13" ht="15" customHeight="1" x14ac:dyDescent="0.2">
      <c r="A78" s="3"/>
      <c r="B78" s="3"/>
      <c r="C78" s="3"/>
      <c r="D78" s="3"/>
      <c r="E78" s="3"/>
      <c r="F78" s="3"/>
      <c r="G78" s="3"/>
      <c r="H78" s="3"/>
      <c r="I78" s="3"/>
      <c r="J78" s="3"/>
      <c r="K78" s="3"/>
      <c r="L78" s="3"/>
      <c r="M78" s="3"/>
    </row>
    <row r="79" spans="1:13" ht="15" customHeight="1" x14ac:dyDescent="0.2">
      <c r="A79" s="4"/>
      <c r="B79" s="4"/>
      <c r="C79" s="4"/>
      <c r="D79" s="4"/>
      <c r="E79" s="4"/>
      <c r="F79" s="4"/>
      <c r="G79" s="4"/>
      <c r="H79" s="4"/>
      <c r="I79" s="4"/>
      <c r="J79" s="4"/>
      <c r="K79" s="4"/>
      <c r="L79" s="4"/>
      <c r="M79" s="4"/>
    </row>
    <row r="80" spans="1:13" ht="15" customHeight="1" x14ac:dyDescent="0.2">
      <c r="A80" s="3"/>
      <c r="B80" s="3"/>
      <c r="C80" s="3"/>
      <c r="D80" s="3"/>
      <c r="E80" s="3"/>
      <c r="F80" s="3"/>
      <c r="G80" s="3"/>
      <c r="H80" s="3"/>
      <c r="I80" s="3"/>
      <c r="J80" s="3"/>
      <c r="K80" s="3"/>
      <c r="L80" s="3"/>
      <c r="M80" s="3"/>
    </row>
    <row r="81" spans="1:13" ht="15" customHeight="1" x14ac:dyDescent="0.2">
      <c r="A81" s="4"/>
      <c r="B81" s="4"/>
      <c r="C81" s="4"/>
      <c r="D81" s="4"/>
      <c r="E81" s="4"/>
      <c r="F81" s="4"/>
      <c r="G81" s="4"/>
      <c r="H81" s="4"/>
      <c r="I81" s="4"/>
      <c r="J81" s="4"/>
      <c r="K81" s="4"/>
      <c r="L81" s="4"/>
      <c r="M81" s="4"/>
    </row>
    <row r="82" spans="1:13" ht="15" customHeight="1" x14ac:dyDescent="0.2">
      <c r="A82" s="3"/>
      <c r="B82" s="3"/>
      <c r="C82" s="3"/>
      <c r="D82" s="3"/>
      <c r="E82" s="3"/>
      <c r="F82" s="3"/>
      <c r="G82" s="3"/>
      <c r="H82" s="3"/>
      <c r="I82" s="3"/>
      <c r="J82" s="3"/>
      <c r="K82" s="3"/>
      <c r="L82" s="3"/>
      <c r="M82" s="3"/>
    </row>
    <row r="83" spans="1:13" ht="15" customHeight="1" x14ac:dyDescent="0.2">
      <c r="A83" s="4"/>
      <c r="B83" s="4"/>
      <c r="C83" s="4"/>
      <c r="D83" s="4"/>
      <c r="E83" s="4"/>
      <c r="F83" s="4"/>
      <c r="G83" s="4"/>
      <c r="H83" s="4"/>
      <c r="I83" s="4"/>
      <c r="J83" s="4"/>
      <c r="K83" s="4"/>
      <c r="L83" s="4"/>
      <c r="M83" s="4"/>
    </row>
    <row r="84" spans="1:13" ht="15" customHeight="1" x14ac:dyDescent="0.2">
      <c r="A84" s="3"/>
      <c r="B84" s="3"/>
      <c r="C84" s="3"/>
      <c r="D84" s="3"/>
      <c r="E84" s="3"/>
      <c r="F84" s="3"/>
      <c r="G84" s="3"/>
      <c r="H84" s="3"/>
      <c r="I84" s="3"/>
      <c r="J84" s="3"/>
      <c r="K84" s="3"/>
      <c r="L84" s="3"/>
      <c r="M84" s="3"/>
    </row>
    <row r="85" spans="1:13" ht="15" customHeight="1" x14ac:dyDescent="0.2">
      <c r="A85" s="4"/>
      <c r="B85" s="4"/>
      <c r="C85" s="4"/>
      <c r="D85" s="4"/>
      <c r="E85" s="4"/>
      <c r="F85" s="4"/>
      <c r="G85" s="4"/>
      <c r="H85" s="4"/>
      <c r="I85" s="4"/>
      <c r="J85" s="4"/>
      <c r="K85" s="4"/>
      <c r="L85" s="4"/>
      <c r="M85" s="4"/>
    </row>
    <row r="86" spans="1:13" ht="15" customHeight="1" x14ac:dyDescent="0.2">
      <c r="A86" s="3"/>
      <c r="B86" s="3"/>
      <c r="C86" s="3"/>
      <c r="D86" s="3"/>
      <c r="E86" s="3"/>
      <c r="F86" s="3"/>
      <c r="G86" s="3"/>
      <c r="H86" s="3"/>
      <c r="I86" s="3"/>
      <c r="J86" s="3"/>
      <c r="K86" s="3"/>
      <c r="L86" s="3"/>
      <c r="M86" s="3"/>
    </row>
    <row r="87" spans="1:13" ht="15" customHeight="1" x14ac:dyDescent="0.2">
      <c r="A87" s="4"/>
      <c r="B87" s="4"/>
      <c r="C87" s="4"/>
      <c r="D87" s="4"/>
      <c r="E87" s="4"/>
      <c r="F87" s="4"/>
      <c r="G87" s="4"/>
      <c r="H87" s="4"/>
      <c r="I87" s="4"/>
      <c r="J87" s="4"/>
      <c r="K87" s="4"/>
      <c r="L87" s="4"/>
      <c r="M87" s="4"/>
    </row>
    <row r="88" spans="1:13" ht="15" customHeight="1" x14ac:dyDescent="0.2">
      <c r="A88" s="3"/>
      <c r="B88" s="3"/>
      <c r="C88" s="3"/>
      <c r="D88" s="3"/>
      <c r="E88" s="3"/>
      <c r="F88" s="3"/>
      <c r="G88" s="3"/>
      <c r="H88" s="3"/>
      <c r="I88" s="3"/>
      <c r="J88" s="3"/>
      <c r="K88" s="3"/>
      <c r="L88" s="3"/>
      <c r="M88" s="3"/>
    </row>
    <row r="89" spans="1:13" ht="15" customHeight="1" x14ac:dyDescent="0.2">
      <c r="A89" s="4"/>
      <c r="B89" s="4"/>
      <c r="C89" s="4"/>
      <c r="D89" s="4"/>
      <c r="E89" s="4"/>
      <c r="F89" s="4"/>
      <c r="G89" s="4"/>
      <c r="H89" s="4"/>
      <c r="I89" s="4"/>
      <c r="J89" s="4"/>
      <c r="K89" s="4"/>
      <c r="L89" s="4"/>
      <c r="M89" s="4"/>
    </row>
    <row r="90" spans="1:13" ht="15" customHeight="1" x14ac:dyDescent="0.2">
      <c r="A90" s="3"/>
      <c r="B90" s="3"/>
      <c r="C90" s="3"/>
      <c r="D90" s="3"/>
      <c r="E90" s="3"/>
      <c r="F90" s="3"/>
      <c r="G90" s="3"/>
      <c r="H90" s="3"/>
      <c r="I90" s="3"/>
      <c r="J90" s="3"/>
      <c r="K90" s="3"/>
      <c r="L90" s="3"/>
      <c r="M90" s="3"/>
    </row>
    <row r="91" spans="1:13" ht="15" customHeight="1" x14ac:dyDescent="0.2">
      <c r="A91" s="4"/>
      <c r="B91" s="4"/>
      <c r="C91" s="4"/>
      <c r="D91" s="4"/>
      <c r="E91" s="4"/>
      <c r="F91" s="4"/>
      <c r="G91" s="4"/>
      <c r="H91" s="4"/>
      <c r="I91" s="4"/>
      <c r="J91" s="4"/>
      <c r="K91" s="4"/>
      <c r="L91" s="4"/>
      <c r="M91" s="4"/>
    </row>
    <row r="92" spans="1:13" ht="15" customHeight="1" x14ac:dyDescent="0.2">
      <c r="A92" s="3"/>
      <c r="B92" s="3"/>
      <c r="C92" s="3"/>
      <c r="D92" s="3"/>
      <c r="E92" s="3"/>
      <c r="F92" s="3"/>
      <c r="G92" s="3"/>
      <c r="H92" s="3"/>
      <c r="I92" s="3"/>
      <c r="J92" s="3"/>
      <c r="K92" s="3"/>
      <c r="L92" s="3"/>
      <c r="M92" s="3"/>
    </row>
    <row r="93" spans="1:13" ht="15" customHeight="1" x14ac:dyDescent="0.2">
      <c r="A93" s="4"/>
      <c r="B93" s="4"/>
      <c r="C93" s="4"/>
      <c r="D93" s="4"/>
      <c r="E93" s="4"/>
      <c r="F93" s="4"/>
      <c r="G93" s="4"/>
      <c r="H93" s="4"/>
      <c r="I93" s="4"/>
      <c r="J93" s="4"/>
      <c r="K93" s="4"/>
      <c r="L93" s="4"/>
      <c r="M93" s="4"/>
    </row>
    <row r="94" spans="1:13" ht="15" customHeight="1" x14ac:dyDescent="0.2">
      <c r="A94" s="3"/>
      <c r="B94" s="3"/>
      <c r="C94" s="3"/>
      <c r="D94" s="3"/>
      <c r="E94" s="3"/>
      <c r="F94" s="3"/>
      <c r="G94" s="3"/>
      <c r="H94" s="3"/>
      <c r="I94" s="3"/>
      <c r="J94" s="3"/>
      <c r="K94" s="3"/>
      <c r="L94" s="3"/>
      <c r="M94" s="3"/>
    </row>
    <row r="95" spans="1:13" ht="15" customHeight="1" x14ac:dyDescent="0.2">
      <c r="A95" s="4"/>
      <c r="B95" s="4"/>
      <c r="C95" s="4"/>
      <c r="D95" s="4"/>
      <c r="E95" s="4"/>
      <c r="F95" s="4"/>
      <c r="G95" s="4"/>
      <c r="H95" s="4"/>
      <c r="I95" s="4"/>
      <c r="J95" s="4"/>
      <c r="K95" s="4"/>
      <c r="L95" s="4"/>
      <c r="M95" s="4"/>
    </row>
    <row r="96" spans="1:13" ht="15" customHeight="1" x14ac:dyDescent="0.2">
      <c r="A96" s="3"/>
      <c r="B96" s="3"/>
      <c r="C96" s="3"/>
      <c r="D96" s="3"/>
      <c r="E96" s="3"/>
      <c r="F96" s="3"/>
      <c r="G96" s="3"/>
      <c r="H96" s="3"/>
      <c r="I96" s="3"/>
      <c r="J96" s="3"/>
      <c r="K96" s="3"/>
      <c r="L96" s="3"/>
      <c r="M96" s="3"/>
    </row>
    <row r="97" spans="1:13" ht="15" customHeight="1" x14ac:dyDescent="0.2">
      <c r="A97" s="4"/>
      <c r="B97" s="4"/>
      <c r="C97" s="4"/>
      <c r="D97" s="4"/>
      <c r="E97" s="4"/>
      <c r="F97" s="4"/>
      <c r="G97" s="4"/>
      <c r="H97" s="4"/>
      <c r="I97" s="4"/>
      <c r="J97" s="4"/>
      <c r="K97" s="4"/>
      <c r="L97" s="4"/>
      <c r="M97" s="4"/>
    </row>
    <row r="98" spans="1:13" ht="15" customHeight="1" x14ac:dyDescent="0.2">
      <c r="A98" s="3"/>
      <c r="B98" s="3"/>
      <c r="C98" s="3"/>
      <c r="D98" s="3"/>
      <c r="E98" s="3"/>
      <c r="F98" s="3"/>
      <c r="G98" s="3"/>
      <c r="H98" s="3"/>
      <c r="I98" s="3"/>
      <c r="J98" s="3"/>
      <c r="K98" s="3"/>
      <c r="L98" s="3"/>
      <c r="M98" s="3"/>
    </row>
    <row r="99" spans="1:13" ht="15" customHeight="1" x14ac:dyDescent="0.2">
      <c r="A99" s="4"/>
      <c r="B99" s="4"/>
      <c r="C99" s="4"/>
      <c r="D99" s="4"/>
      <c r="E99" s="4"/>
      <c r="F99" s="4"/>
      <c r="G99" s="4"/>
      <c r="H99" s="4"/>
      <c r="I99" s="4"/>
      <c r="J99" s="4"/>
      <c r="K99" s="4"/>
      <c r="L99" s="4"/>
      <c r="M99" s="4"/>
    </row>
    <row r="100" spans="1:13" ht="15" customHeight="1" x14ac:dyDescent="0.2">
      <c r="A100" s="3"/>
      <c r="B100" s="3"/>
      <c r="C100" s="3"/>
      <c r="D100" s="3"/>
      <c r="E100" s="3"/>
      <c r="F100" s="3"/>
      <c r="G100" s="3"/>
      <c r="H100" s="3"/>
      <c r="I100" s="3"/>
      <c r="J100" s="3"/>
      <c r="K100" s="3"/>
      <c r="L100" s="3"/>
      <c r="M100" s="3"/>
    </row>
  </sheetData>
  <mergeCells count="2">
    <mergeCell ref="A2:F2"/>
    <mergeCell ref="A1:F1"/>
  </mergeCells>
  <dataValidations count="4">
    <dataValidation type="list" allowBlank="1" errorTitle="Invalid entry" error="Value not in list" sqref="D5:D500" xr:uid="{00000000-0002-0000-0700-000000000000}">
      <formula1>"Outbound Email,Inbound Reply,LinkedIn Touch,Meeting Note,Manual Note,Bounce Recorded"</formula1>
      <formula2>0</formula2>
    </dataValidation>
    <dataValidation type="list" allowBlank="1" errorTitle="Invalid entry" error="Value not in list" sqref="E5:E500" xr:uid="{00000000-0002-0000-0700-000001000000}">
      <formula1>"Day 1 Introduction,Day 4 Nudge,Day 8 Value-add,Day 15 Angle Change,Day 24 Break-up,LinkedIn Touch,Inbound,Manual,n/a"</formula1>
      <formula2>0</formula2>
    </dataValidation>
    <dataValidation type="list" allowBlank="1" errorTitle="Invalid entry" error="Value not in list" sqref="I5:I500" xr:uid="{00000000-0002-0000-0700-000002000000}">
      <formula1>"n/a,Positive,Objection,Not-Now,Not-Interested,Unsubscribe,Bounce,Auto-reply"</formula1>
      <formula2>0</formula2>
    </dataValidation>
    <dataValidation type="list" allowBlank="1" errorTitle="Invalid entry" error="Value not in list" sqref="L5:L500" xr:uid="{00000000-0002-0000-0700-000003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0"/>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5" x14ac:dyDescent="0.2"/>
  <cols>
    <col min="1" max="2" width="12" customWidth="1"/>
    <col min="3" max="3" width="16" customWidth="1"/>
    <col min="4" max="4" width="22" customWidth="1"/>
    <col min="5" max="5" width="20" customWidth="1"/>
    <col min="6" max="6" width="12" customWidth="1"/>
    <col min="7" max="7" width="20" customWidth="1"/>
    <col min="8" max="8" width="16" customWidth="1"/>
    <col min="9" max="10" width="60" customWidth="1"/>
    <col min="11" max="11" width="40" customWidth="1"/>
    <col min="12" max="14" width="14" customWidth="1"/>
  </cols>
  <sheetData>
    <row r="1" spans="1:14" ht="27.75" customHeight="1" x14ac:dyDescent="0.3">
      <c r="A1" s="20" t="s">
        <v>1095</v>
      </c>
      <c r="B1" s="21"/>
      <c r="C1" s="21"/>
      <c r="D1" s="21"/>
      <c r="E1" s="21"/>
      <c r="F1" s="21"/>
    </row>
    <row r="2" spans="1:14" ht="15" customHeight="1" x14ac:dyDescent="0.2">
      <c r="A2" s="22" t="s">
        <v>619</v>
      </c>
      <c r="B2" s="21"/>
      <c r="C2" s="21"/>
      <c r="D2" s="21"/>
      <c r="E2" s="21"/>
      <c r="F2" s="21"/>
    </row>
    <row r="4" spans="1:14" ht="27.75" customHeight="1" x14ac:dyDescent="0.2">
      <c r="A4" s="2" t="s">
        <v>1096</v>
      </c>
      <c r="B4" s="2" t="s">
        <v>2</v>
      </c>
      <c r="C4" s="2" t="s">
        <v>1097</v>
      </c>
      <c r="D4" s="2" t="s">
        <v>1098</v>
      </c>
      <c r="E4" s="2" t="s">
        <v>1099</v>
      </c>
      <c r="F4" s="2" t="s">
        <v>1100</v>
      </c>
      <c r="G4" s="2" t="s">
        <v>1101</v>
      </c>
      <c r="H4" s="2" t="s">
        <v>39</v>
      </c>
      <c r="I4" s="2" t="s">
        <v>1102</v>
      </c>
      <c r="J4" s="2" t="s">
        <v>1103</v>
      </c>
      <c r="K4" s="2" t="s">
        <v>1093</v>
      </c>
      <c r="L4" s="2" t="s">
        <v>1094</v>
      </c>
      <c r="M4" s="2" t="s">
        <v>40</v>
      </c>
      <c r="N4" s="2" t="s">
        <v>41</v>
      </c>
    </row>
    <row r="5" spans="1:14" ht="15" customHeight="1" x14ac:dyDescent="0.2">
      <c r="A5" s="4"/>
      <c r="B5" s="4"/>
      <c r="C5" s="4"/>
      <c r="D5" s="4"/>
      <c r="E5" s="4"/>
      <c r="F5" s="4"/>
      <c r="G5" s="4"/>
      <c r="H5" s="4"/>
      <c r="I5" s="4"/>
      <c r="J5" s="4"/>
      <c r="K5" s="4"/>
      <c r="L5" s="4"/>
      <c r="M5" s="4"/>
      <c r="N5" s="4"/>
    </row>
    <row r="6" spans="1:14" ht="15" customHeight="1" x14ac:dyDescent="0.2">
      <c r="A6" s="3"/>
      <c r="B6" s="3"/>
      <c r="C6" s="3"/>
      <c r="D6" s="3"/>
      <c r="E6" s="3"/>
      <c r="F6" s="3"/>
      <c r="G6" s="3"/>
      <c r="H6" s="3"/>
      <c r="I6" s="3"/>
      <c r="J6" s="3"/>
      <c r="K6" s="3"/>
      <c r="L6" s="3"/>
      <c r="M6" s="3"/>
      <c r="N6" s="3"/>
    </row>
    <row r="7" spans="1:14" ht="15" customHeight="1" x14ac:dyDescent="0.2">
      <c r="A7" s="4"/>
      <c r="B7" s="4"/>
      <c r="C7" s="4"/>
      <c r="D7" s="4"/>
      <c r="E7" s="4"/>
      <c r="F7" s="4"/>
      <c r="G7" s="4"/>
      <c r="H7" s="4"/>
      <c r="I7" s="4"/>
      <c r="J7" s="4"/>
      <c r="K7" s="4"/>
      <c r="L7" s="4"/>
      <c r="M7" s="4"/>
      <c r="N7" s="4"/>
    </row>
    <row r="8" spans="1:14" ht="15" customHeight="1" x14ac:dyDescent="0.2">
      <c r="A8" s="3"/>
      <c r="B8" s="3"/>
      <c r="C8" s="3"/>
      <c r="D8" s="3"/>
      <c r="E8" s="3"/>
      <c r="F8" s="3"/>
      <c r="G8" s="3"/>
      <c r="H8" s="3"/>
      <c r="I8" s="3"/>
      <c r="J8" s="3"/>
      <c r="K8" s="3"/>
      <c r="L8" s="3"/>
      <c r="M8" s="3"/>
      <c r="N8" s="3"/>
    </row>
    <row r="9" spans="1:14" ht="15" customHeight="1" x14ac:dyDescent="0.2">
      <c r="A9" s="4"/>
      <c r="B9" s="4"/>
      <c r="C9" s="4"/>
      <c r="D9" s="4"/>
      <c r="E9" s="4"/>
      <c r="F9" s="4"/>
      <c r="G9" s="4"/>
      <c r="H9" s="4"/>
      <c r="I9" s="4"/>
      <c r="J9" s="4"/>
      <c r="K9" s="4"/>
      <c r="L9" s="4"/>
      <c r="M9" s="4"/>
      <c r="N9" s="4"/>
    </row>
    <row r="10" spans="1:14" ht="15" customHeight="1" x14ac:dyDescent="0.2">
      <c r="A10" s="3"/>
      <c r="B10" s="3"/>
      <c r="C10" s="3"/>
      <c r="D10" s="3"/>
      <c r="E10" s="3"/>
      <c r="F10" s="3"/>
      <c r="G10" s="3"/>
      <c r="H10" s="3"/>
      <c r="I10" s="3"/>
      <c r="J10" s="3"/>
      <c r="K10" s="3"/>
      <c r="L10" s="3"/>
      <c r="M10" s="3"/>
      <c r="N10" s="3"/>
    </row>
    <row r="11" spans="1:14" ht="15" customHeight="1" x14ac:dyDescent="0.2">
      <c r="A11" s="4"/>
      <c r="B11" s="4"/>
      <c r="C11" s="4"/>
      <c r="D11" s="4"/>
      <c r="E11" s="4"/>
      <c r="F11" s="4"/>
      <c r="G11" s="4"/>
      <c r="H11" s="4"/>
      <c r="I11" s="4"/>
      <c r="J11" s="4"/>
      <c r="K11" s="4"/>
      <c r="L11" s="4"/>
      <c r="M11" s="4"/>
      <c r="N11" s="4"/>
    </row>
    <row r="12" spans="1:14" ht="15" customHeight="1" x14ac:dyDescent="0.2">
      <c r="A12" s="3"/>
      <c r="B12" s="3"/>
      <c r="C12" s="3"/>
      <c r="D12" s="3"/>
      <c r="E12" s="3"/>
      <c r="F12" s="3"/>
      <c r="G12" s="3"/>
      <c r="H12" s="3"/>
      <c r="I12" s="3"/>
      <c r="J12" s="3"/>
      <c r="K12" s="3"/>
      <c r="L12" s="3"/>
      <c r="M12" s="3"/>
      <c r="N12" s="3"/>
    </row>
    <row r="13" spans="1:14" ht="15" customHeight="1" x14ac:dyDescent="0.2">
      <c r="A13" s="4"/>
      <c r="B13" s="4"/>
      <c r="C13" s="4"/>
      <c r="D13" s="4"/>
      <c r="E13" s="4"/>
      <c r="F13" s="4"/>
      <c r="G13" s="4"/>
      <c r="H13" s="4"/>
      <c r="I13" s="4"/>
      <c r="J13" s="4"/>
      <c r="K13" s="4"/>
      <c r="L13" s="4"/>
      <c r="M13" s="4"/>
      <c r="N13" s="4"/>
    </row>
    <row r="14" spans="1:14" ht="15" customHeight="1" x14ac:dyDescent="0.2">
      <c r="A14" s="3"/>
      <c r="B14" s="3"/>
      <c r="C14" s="3"/>
      <c r="D14" s="3"/>
      <c r="E14" s="3"/>
      <c r="F14" s="3"/>
      <c r="G14" s="3"/>
      <c r="H14" s="3"/>
      <c r="I14" s="3"/>
      <c r="J14" s="3"/>
      <c r="K14" s="3"/>
      <c r="L14" s="3"/>
      <c r="M14" s="3"/>
      <c r="N14" s="3"/>
    </row>
    <row r="15" spans="1:14" ht="15" customHeight="1" x14ac:dyDescent="0.2">
      <c r="A15" s="4"/>
      <c r="B15" s="4"/>
      <c r="C15" s="4"/>
      <c r="D15" s="4"/>
      <c r="E15" s="4"/>
      <c r="F15" s="4"/>
      <c r="G15" s="4"/>
      <c r="H15" s="4"/>
      <c r="I15" s="4"/>
      <c r="J15" s="4"/>
      <c r="K15" s="4"/>
      <c r="L15" s="4"/>
      <c r="M15" s="4"/>
      <c r="N15" s="4"/>
    </row>
    <row r="16" spans="1:14" ht="15" customHeight="1" x14ac:dyDescent="0.2">
      <c r="A16" s="3"/>
      <c r="B16" s="3"/>
      <c r="C16" s="3"/>
      <c r="D16" s="3"/>
      <c r="E16" s="3"/>
      <c r="F16" s="3"/>
      <c r="G16" s="3"/>
      <c r="H16" s="3"/>
      <c r="I16" s="3"/>
      <c r="J16" s="3"/>
      <c r="K16" s="3"/>
      <c r="L16" s="3"/>
      <c r="M16" s="3"/>
      <c r="N16" s="3"/>
    </row>
    <row r="17" spans="1:14" ht="15" customHeight="1" x14ac:dyDescent="0.2">
      <c r="A17" s="4"/>
      <c r="B17" s="4"/>
      <c r="C17" s="4"/>
      <c r="D17" s="4"/>
      <c r="E17" s="4"/>
      <c r="F17" s="4"/>
      <c r="G17" s="4"/>
      <c r="H17" s="4"/>
      <c r="I17" s="4"/>
      <c r="J17" s="4"/>
      <c r="K17" s="4"/>
      <c r="L17" s="4"/>
      <c r="M17" s="4"/>
      <c r="N17" s="4"/>
    </row>
    <row r="18" spans="1:14" ht="15" customHeight="1" x14ac:dyDescent="0.2">
      <c r="A18" s="3"/>
      <c r="B18" s="3"/>
      <c r="C18" s="3"/>
      <c r="D18" s="3"/>
      <c r="E18" s="3"/>
      <c r="F18" s="3"/>
      <c r="G18" s="3"/>
      <c r="H18" s="3"/>
      <c r="I18" s="3"/>
      <c r="J18" s="3"/>
      <c r="K18" s="3"/>
      <c r="L18" s="3"/>
      <c r="M18" s="3"/>
      <c r="N18" s="3"/>
    </row>
    <row r="19" spans="1:14" ht="15" customHeight="1" x14ac:dyDescent="0.2">
      <c r="A19" s="4"/>
      <c r="B19" s="4"/>
      <c r="C19" s="4"/>
      <c r="D19" s="4"/>
      <c r="E19" s="4"/>
      <c r="F19" s="4"/>
      <c r="G19" s="4"/>
      <c r="H19" s="4"/>
      <c r="I19" s="4"/>
      <c r="J19" s="4"/>
      <c r="K19" s="4"/>
      <c r="L19" s="4"/>
      <c r="M19" s="4"/>
      <c r="N19" s="4"/>
    </row>
    <row r="20" spans="1:14" ht="15" customHeight="1" x14ac:dyDescent="0.2">
      <c r="A20" s="3"/>
      <c r="B20" s="3"/>
      <c r="C20" s="3"/>
      <c r="D20" s="3"/>
      <c r="E20" s="3"/>
      <c r="F20" s="3"/>
      <c r="G20" s="3"/>
      <c r="H20" s="3"/>
      <c r="I20" s="3"/>
      <c r="J20" s="3"/>
      <c r="K20" s="3"/>
      <c r="L20" s="3"/>
      <c r="M20" s="3"/>
      <c r="N20" s="3"/>
    </row>
    <row r="21" spans="1:14" ht="15" customHeight="1" x14ac:dyDescent="0.2">
      <c r="A21" s="4"/>
      <c r="B21" s="4"/>
      <c r="C21" s="4"/>
      <c r="D21" s="4"/>
      <c r="E21" s="4"/>
      <c r="F21" s="4"/>
      <c r="G21" s="4"/>
      <c r="H21" s="4"/>
      <c r="I21" s="4"/>
      <c r="J21" s="4"/>
      <c r="K21" s="4"/>
      <c r="L21" s="4"/>
      <c r="M21" s="4"/>
      <c r="N21" s="4"/>
    </row>
    <row r="22" spans="1:14" ht="15" customHeight="1" x14ac:dyDescent="0.2">
      <c r="A22" s="3"/>
      <c r="B22" s="3"/>
      <c r="C22" s="3"/>
      <c r="D22" s="3"/>
      <c r="E22" s="3"/>
      <c r="F22" s="3"/>
      <c r="G22" s="3"/>
      <c r="H22" s="3"/>
      <c r="I22" s="3"/>
      <c r="J22" s="3"/>
      <c r="K22" s="3"/>
      <c r="L22" s="3"/>
      <c r="M22" s="3"/>
      <c r="N22" s="3"/>
    </row>
    <row r="23" spans="1:14" ht="15" customHeight="1" x14ac:dyDescent="0.2">
      <c r="A23" s="4"/>
      <c r="B23" s="4"/>
      <c r="C23" s="4"/>
      <c r="D23" s="4"/>
      <c r="E23" s="4"/>
      <c r="F23" s="4"/>
      <c r="G23" s="4"/>
      <c r="H23" s="4"/>
      <c r="I23" s="4"/>
      <c r="J23" s="4"/>
      <c r="K23" s="4"/>
      <c r="L23" s="4"/>
      <c r="M23" s="4"/>
      <c r="N23" s="4"/>
    </row>
    <row r="24" spans="1:14" ht="15" customHeight="1" x14ac:dyDescent="0.2">
      <c r="A24" s="3"/>
      <c r="B24" s="3"/>
      <c r="C24" s="3"/>
      <c r="D24" s="3"/>
      <c r="E24" s="3"/>
      <c r="F24" s="3"/>
      <c r="G24" s="3"/>
      <c r="H24" s="3"/>
      <c r="I24" s="3"/>
      <c r="J24" s="3"/>
      <c r="K24" s="3"/>
      <c r="L24" s="3"/>
      <c r="M24" s="3"/>
      <c r="N24" s="3"/>
    </row>
    <row r="25" spans="1:14" ht="15" customHeight="1" x14ac:dyDescent="0.2">
      <c r="A25" s="4"/>
      <c r="B25" s="4"/>
      <c r="C25" s="4"/>
      <c r="D25" s="4"/>
      <c r="E25" s="4"/>
      <c r="F25" s="4"/>
      <c r="G25" s="4"/>
      <c r="H25" s="4"/>
      <c r="I25" s="4"/>
      <c r="J25" s="4"/>
      <c r="K25" s="4"/>
      <c r="L25" s="4"/>
      <c r="M25" s="4"/>
      <c r="N25" s="4"/>
    </row>
    <row r="26" spans="1:14" ht="15" customHeight="1" x14ac:dyDescent="0.2">
      <c r="A26" s="3"/>
      <c r="B26" s="3"/>
      <c r="C26" s="3"/>
      <c r="D26" s="3"/>
      <c r="E26" s="3"/>
      <c r="F26" s="3"/>
      <c r="G26" s="3"/>
      <c r="H26" s="3"/>
      <c r="I26" s="3"/>
      <c r="J26" s="3"/>
      <c r="K26" s="3"/>
      <c r="L26" s="3"/>
      <c r="M26" s="3"/>
      <c r="N26" s="3"/>
    </row>
    <row r="27" spans="1:14" ht="15" customHeight="1" x14ac:dyDescent="0.2">
      <c r="A27" s="4"/>
      <c r="B27" s="4"/>
      <c r="C27" s="4"/>
      <c r="D27" s="4"/>
      <c r="E27" s="4"/>
      <c r="F27" s="4"/>
      <c r="G27" s="4"/>
      <c r="H27" s="4"/>
      <c r="I27" s="4"/>
      <c r="J27" s="4"/>
      <c r="K27" s="4"/>
      <c r="L27" s="4"/>
      <c r="M27" s="4"/>
      <c r="N27" s="4"/>
    </row>
    <row r="28" spans="1:14" ht="15" customHeight="1" x14ac:dyDescent="0.2">
      <c r="A28" s="3"/>
      <c r="B28" s="3"/>
      <c r="C28" s="3"/>
      <c r="D28" s="3"/>
      <c r="E28" s="3"/>
      <c r="F28" s="3"/>
      <c r="G28" s="3"/>
      <c r="H28" s="3"/>
      <c r="I28" s="3"/>
      <c r="J28" s="3"/>
      <c r="K28" s="3"/>
      <c r="L28" s="3"/>
      <c r="M28" s="3"/>
      <c r="N28" s="3"/>
    </row>
    <row r="29" spans="1:14" ht="15" customHeight="1" x14ac:dyDescent="0.2">
      <c r="A29" s="4"/>
      <c r="B29" s="4"/>
      <c r="C29" s="4"/>
      <c r="D29" s="4"/>
      <c r="E29" s="4"/>
      <c r="F29" s="4"/>
      <c r="G29" s="4"/>
      <c r="H29" s="4"/>
      <c r="I29" s="4"/>
      <c r="J29" s="4"/>
      <c r="K29" s="4"/>
      <c r="L29" s="4"/>
      <c r="M29" s="4"/>
      <c r="N29" s="4"/>
    </row>
    <row r="30" spans="1:14" ht="15" customHeight="1" x14ac:dyDescent="0.2">
      <c r="A30" s="3"/>
      <c r="B30" s="3"/>
      <c r="C30" s="3"/>
      <c r="D30" s="3"/>
      <c r="E30" s="3"/>
      <c r="F30" s="3"/>
      <c r="G30" s="3"/>
      <c r="H30" s="3"/>
      <c r="I30" s="3"/>
      <c r="J30" s="3"/>
      <c r="K30" s="3"/>
      <c r="L30" s="3"/>
      <c r="M30" s="3"/>
      <c r="N30" s="3"/>
    </row>
    <row r="31" spans="1:14" ht="15" customHeight="1" x14ac:dyDescent="0.2">
      <c r="A31" s="4"/>
      <c r="B31" s="4"/>
      <c r="C31" s="4"/>
      <c r="D31" s="4"/>
      <c r="E31" s="4"/>
      <c r="F31" s="4"/>
      <c r="G31" s="4"/>
      <c r="H31" s="4"/>
      <c r="I31" s="4"/>
      <c r="J31" s="4"/>
      <c r="K31" s="4"/>
      <c r="L31" s="4"/>
      <c r="M31" s="4"/>
      <c r="N31" s="4"/>
    </row>
    <row r="32" spans="1:14" ht="15" customHeight="1" x14ac:dyDescent="0.2">
      <c r="A32" s="3"/>
      <c r="B32" s="3"/>
      <c r="C32" s="3"/>
      <c r="D32" s="3"/>
      <c r="E32" s="3"/>
      <c r="F32" s="3"/>
      <c r="G32" s="3"/>
      <c r="H32" s="3"/>
      <c r="I32" s="3"/>
      <c r="J32" s="3"/>
      <c r="K32" s="3"/>
      <c r="L32" s="3"/>
      <c r="M32" s="3"/>
      <c r="N32" s="3"/>
    </row>
    <row r="33" spans="1:14" ht="15" customHeight="1" x14ac:dyDescent="0.2">
      <c r="A33" s="4"/>
      <c r="B33" s="4"/>
      <c r="C33" s="4"/>
      <c r="D33" s="4"/>
      <c r="E33" s="4"/>
      <c r="F33" s="4"/>
      <c r="G33" s="4"/>
      <c r="H33" s="4"/>
      <c r="I33" s="4"/>
      <c r="J33" s="4"/>
      <c r="K33" s="4"/>
      <c r="L33" s="4"/>
      <c r="M33" s="4"/>
      <c r="N33" s="4"/>
    </row>
    <row r="34" spans="1:14" ht="15" customHeight="1" x14ac:dyDescent="0.2">
      <c r="A34" s="3"/>
      <c r="B34" s="3"/>
      <c r="C34" s="3"/>
      <c r="D34" s="3"/>
      <c r="E34" s="3"/>
      <c r="F34" s="3"/>
      <c r="G34" s="3"/>
      <c r="H34" s="3"/>
      <c r="I34" s="3"/>
      <c r="J34" s="3"/>
      <c r="K34" s="3"/>
      <c r="L34" s="3"/>
      <c r="M34" s="3"/>
      <c r="N34" s="3"/>
    </row>
    <row r="35" spans="1:14" ht="15" customHeight="1" x14ac:dyDescent="0.2">
      <c r="A35" s="4"/>
      <c r="B35" s="4"/>
      <c r="C35" s="4"/>
      <c r="D35" s="4"/>
      <c r="E35" s="4"/>
      <c r="F35" s="4"/>
      <c r="G35" s="4"/>
      <c r="H35" s="4"/>
      <c r="I35" s="4"/>
      <c r="J35" s="4"/>
      <c r="K35" s="4"/>
      <c r="L35" s="4"/>
      <c r="M35" s="4"/>
      <c r="N35" s="4"/>
    </row>
    <row r="36" spans="1:14" ht="15" customHeight="1" x14ac:dyDescent="0.2">
      <c r="A36" s="3"/>
      <c r="B36" s="3"/>
      <c r="C36" s="3"/>
      <c r="D36" s="3"/>
      <c r="E36" s="3"/>
      <c r="F36" s="3"/>
      <c r="G36" s="3"/>
      <c r="H36" s="3"/>
      <c r="I36" s="3"/>
      <c r="J36" s="3"/>
      <c r="K36" s="3"/>
      <c r="L36" s="3"/>
      <c r="M36" s="3"/>
      <c r="N36" s="3"/>
    </row>
    <row r="37" spans="1:14" ht="15" customHeight="1" x14ac:dyDescent="0.2">
      <c r="A37" s="4"/>
      <c r="B37" s="4"/>
      <c r="C37" s="4"/>
      <c r="D37" s="4"/>
      <c r="E37" s="4"/>
      <c r="F37" s="4"/>
      <c r="G37" s="4"/>
      <c r="H37" s="4"/>
      <c r="I37" s="4"/>
      <c r="J37" s="4"/>
      <c r="K37" s="4"/>
      <c r="L37" s="4"/>
      <c r="M37" s="4"/>
      <c r="N37" s="4"/>
    </row>
    <row r="38" spans="1:14" ht="15" customHeight="1" x14ac:dyDescent="0.2">
      <c r="A38" s="3"/>
      <c r="B38" s="3"/>
      <c r="C38" s="3"/>
      <c r="D38" s="3"/>
      <c r="E38" s="3"/>
      <c r="F38" s="3"/>
      <c r="G38" s="3"/>
      <c r="H38" s="3"/>
      <c r="I38" s="3"/>
      <c r="J38" s="3"/>
      <c r="K38" s="3"/>
      <c r="L38" s="3"/>
      <c r="M38" s="3"/>
      <c r="N38" s="3"/>
    </row>
    <row r="39" spans="1:14" ht="15" customHeight="1" x14ac:dyDescent="0.2">
      <c r="A39" s="4"/>
      <c r="B39" s="4"/>
      <c r="C39" s="4"/>
      <c r="D39" s="4"/>
      <c r="E39" s="4"/>
      <c r="F39" s="4"/>
      <c r="G39" s="4"/>
      <c r="H39" s="4"/>
      <c r="I39" s="4"/>
      <c r="J39" s="4"/>
      <c r="K39" s="4"/>
      <c r="L39" s="4"/>
      <c r="M39" s="4"/>
      <c r="N39" s="4"/>
    </row>
    <row r="40" spans="1:14" ht="15" customHeight="1" x14ac:dyDescent="0.2">
      <c r="A40" s="3"/>
      <c r="B40" s="3"/>
      <c r="C40" s="3"/>
      <c r="D40" s="3"/>
      <c r="E40" s="3"/>
      <c r="F40" s="3"/>
      <c r="G40" s="3"/>
      <c r="H40" s="3"/>
      <c r="I40" s="3"/>
      <c r="J40" s="3"/>
      <c r="K40" s="3"/>
      <c r="L40" s="3"/>
      <c r="M40" s="3"/>
      <c r="N40" s="3"/>
    </row>
    <row r="41" spans="1:14" ht="15" customHeight="1" x14ac:dyDescent="0.2">
      <c r="A41" s="4"/>
      <c r="B41" s="4"/>
      <c r="C41" s="4"/>
      <c r="D41" s="4"/>
      <c r="E41" s="4"/>
      <c r="F41" s="4"/>
      <c r="G41" s="4"/>
      <c r="H41" s="4"/>
      <c r="I41" s="4"/>
      <c r="J41" s="4"/>
      <c r="K41" s="4"/>
      <c r="L41" s="4"/>
      <c r="M41" s="4"/>
      <c r="N41" s="4"/>
    </row>
    <row r="42" spans="1:14" ht="15" customHeight="1" x14ac:dyDescent="0.2">
      <c r="A42" s="3"/>
      <c r="B42" s="3"/>
      <c r="C42" s="3"/>
      <c r="D42" s="3"/>
      <c r="E42" s="3"/>
      <c r="F42" s="3"/>
      <c r="G42" s="3"/>
      <c r="H42" s="3"/>
      <c r="I42" s="3"/>
      <c r="J42" s="3"/>
      <c r="K42" s="3"/>
      <c r="L42" s="3"/>
      <c r="M42" s="3"/>
      <c r="N42" s="3"/>
    </row>
    <row r="43" spans="1:14" ht="15" customHeight="1" x14ac:dyDescent="0.2">
      <c r="A43" s="4"/>
      <c r="B43" s="4"/>
      <c r="C43" s="4"/>
      <c r="D43" s="4"/>
      <c r="E43" s="4"/>
      <c r="F43" s="4"/>
      <c r="G43" s="4"/>
      <c r="H43" s="4"/>
      <c r="I43" s="4"/>
      <c r="J43" s="4"/>
      <c r="K43" s="4"/>
      <c r="L43" s="4"/>
      <c r="M43" s="4"/>
      <c r="N43" s="4"/>
    </row>
    <row r="44" spans="1:14" ht="15" customHeight="1" x14ac:dyDescent="0.2">
      <c r="A44" s="3"/>
      <c r="B44" s="3"/>
      <c r="C44" s="3"/>
      <c r="D44" s="3"/>
      <c r="E44" s="3"/>
      <c r="F44" s="3"/>
      <c r="G44" s="3"/>
      <c r="H44" s="3"/>
      <c r="I44" s="3"/>
      <c r="J44" s="3"/>
      <c r="K44" s="3"/>
      <c r="L44" s="3"/>
      <c r="M44" s="3"/>
      <c r="N44" s="3"/>
    </row>
    <row r="45" spans="1:14" ht="15" customHeight="1" x14ac:dyDescent="0.2">
      <c r="A45" s="4"/>
      <c r="B45" s="4"/>
      <c r="C45" s="4"/>
      <c r="D45" s="4"/>
      <c r="E45" s="4"/>
      <c r="F45" s="4"/>
      <c r="G45" s="4"/>
      <c r="H45" s="4"/>
      <c r="I45" s="4"/>
      <c r="J45" s="4"/>
      <c r="K45" s="4"/>
      <c r="L45" s="4"/>
      <c r="M45" s="4"/>
      <c r="N45" s="4"/>
    </row>
    <row r="46" spans="1:14" ht="15" customHeight="1" x14ac:dyDescent="0.2">
      <c r="A46" s="3"/>
      <c r="B46" s="3"/>
      <c r="C46" s="3"/>
      <c r="D46" s="3"/>
      <c r="E46" s="3"/>
      <c r="F46" s="3"/>
      <c r="G46" s="3"/>
      <c r="H46" s="3"/>
      <c r="I46" s="3"/>
      <c r="J46" s="3"/>
      <c r="K46" s="3"/>
      <c r="L46" s="3"/>
      <c r="M46" s="3"/>
      <c r="N46" s="3"/>
    </row>
    <row r="47" spans="1:14" ht="15" customHeight="1" x14ac:dyDescent="0.2">
      <c r="A47" s="4"/>
      <c r="B47" s="4"/>
      <c r="C47" s="4"/>
      <c r="D47" s="4"/>
      <c r="E47" s="4"/>
      <c r="F47" s="4"/>
      <c r="G47" s="4"/>
      <c r="H47" s="4"/>
      <c r="I47" s="4"/>
      <c r="J47" s="4"/>
      <c r="K47" s="4"/>
      <c r="L47" s="4"/>
      <c r="M47" s="4"/>
      <c r="N47" s="4"/>
    </row>
    <row r="48" spans="1:14" ht="15" customHeight="1" x14ac:dyDescent="0.2">
      <c r="A48" s="3"/>
      <c r="B48" s="3"/>
      <c r="C48" s="3"/>
      <c r="D48" s="3"/>
      <c r="E48" s="3"/>
      <c r="F48" s="3"/>
      <c r="G48" s="3"/>
      <c r="H48" s="3"/>
      <c r="I48" s="3"/>
      <c r="J48" s="3"/>
      <c r="K48" s="3"/>
      <c r="L48" s="3"/>
      <c r="M48" s="3"/>
      <c r="N48" s="3"/>
    </row>
    <row r="49" spans="1:14" ht="15" customHeight="1" x14ac:dyDescent="0.2">
      <c r="A49" s="4"/>
      <c r="B49" s="4"/>
      <c r="C49" s="4"/>
      <c r="D49" s="4"/>
      <c r="E49" s="4"/>
      <c r="F49" s="4"/>
      <c r="G49" s="4"/>
      <c r="H49" s="4"/>
      <c r="I49" s="4"/>
      <c r="J49" s="4"/>
      <c r="K49" s="4"/>
      <c r="L49" s="4"/>
      <c r="M49" s="4"/>
      <c r="N49" s="4"/>
    </row>
    <row r="50" spans="1:14" ht="15" customHeight="1" x14ac:dyDescent="0.2">
      <c r="A50" s="3"/>
      <c r="B50" s="3"/>
      <c r="C50" s="3"/>
      <c r="D50" s="3"/>
      <c r="E50" s="3"/>
      <c r="F50" s="3"/>
      <c r="G50" s="3"/>
      <c r="H50" s="3"/>
      <c r="I50" s="3"/>
      <c r="J50" s="3"/>
      <c r="K50" s="3"/>
      <c r="L50" s="3"/>
      <c r="M50" s="3"/>
      <c r="N50" s="3"/>
    </row>
  </sheetData>
  <mergeCells count="2">
    <mergeCell ref="A2:F2"/>
    <mergeCell ref="A1:F1"/>
  </mergeCells>
  <dataValidations count="3">
    <dataValidation type="list" allowBlank="1" errorTitle="Invalid entry" error="Value not in list" sqref="G5:G500" xr:uid="{00000000-0002-0000-0800-000000000000}">
      <formula1>"Discovery,Follow-up,Demo,Solution Review,Negotiation,Close,Other"</formula1>
      <formula2>0</formula2>
    </dataValidation>
    <dataValidation type="list" allowBlank="1" errorTitle="Invalid entry" error="Value not in list" sqref="H5:H500" xr:uid="{00000000-0002-0000-0800-000001000000}">
      <formula1>"Scheduled,Completed,No-Show,Cancelled,Rescheduled"</formula1>
      <formula2>0</formula2>
    </dataValidation>
    <dataValidation type="list" allowBlank="1" errorTitle="Invalid entry" error="Value not in list" sqref="M5:M500" xr:uid="{00000000-0002-0000-0800-000002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0"/>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5" x14ac:dyDescent="0.2"/>
  <cols>
    <col min="1" max="1" width="14" customWidth="1"/>
    <col min="2" max="2" width="32" customWidth="1"/>
    <col min="3" max="4" width="18" customWidth="1"/>
    <col min="5" max="5" width="16" customWidth="1"/>
    <col min="6" max="6" width="20" customWidth="1"/>
    <col min="7" max="7" width="60" customWidth="1"/>
    <col min="8" max="9" width="14" customWidth="1"/>
  </cols>
  <sheetData>
    <row r="1" spans="1:9" ht="27.75" customHeight="1" x14ac:dyDescent="0.3">
      <c r="A1" s="20" t="s">
        <v>1104</v>
      </c>
      <c r="B1" s="21"/>
      <c r="C1" s="21"/>
      <c r="D1" s="21"/>
      <c r="E1" s="21"/>
      <c r="F1" s="21"/>
    </row>
    <row r="2" spans="1:9" ht="15" customHeight="1" x14ac:dyDescent="0.2">
      <c r="A2" s="22" t="s">
        <v>1105</v>
      </c>
      <c r="B2" s="21"/>
      <c r="C2" s="21"/>
      <c r="D2" s="21"/>
      <c r="E2" s="21"/>
      <c r="F2" s="21"/>
    </row>
    <row r="4" spans="1:9" ht="27.75" customHeight="1" x14ac:dyDescent="0.2">
      <c r="A4" s="2" t="s">
        <v>1106</v>
      </c>
      <c r="B4" s="2" t="s">
        <v>1107</v>
      </c>
      <c r="C4" s="2" t="s">
        <v>1108</v>
      </c>
      <c r="D4" s="2" t="s">
        <v>1109</v>
      </c>
      <c r="E4" s="2" t="s">
        <v>1110</v>
      </c>
      <c r="F4" s="2" t="s">
        <v>1111</v>
      </c>
      <c r="G4" s="2" t="s">
        <v>1083</v>
      </c>
      <c r="H4" s="2" t="s">
        <v>40</v>
      </c>
      <c r="I4" s="2" t="s">
        <v>41</v>
      </c>
    </row>
    <row r="5" spans="1:9" ht="15" customHeight="1" x14ac:dyDescent="0.2">
      <c r="A5" s="4"/>
      <c r="B5" s="4"/>
      <c r="C5" s="4"/>
      <c r="D5" s="4"/>
      <c r="E5" s="4"/>
      <c r="F5" s="4"/>
      <c r="G5" s="4"/>
      <c r="H5" s="4"/>
      <c r="I5" s="4"/>
    </row>
    <row r="6" spans="1:9" ht="15" customHeight="1" x14ac:dyDescent="0.2">
      <c r="A6" s="3"/>
      <c r="B6" s="3"/>
      <c r="C6" s="3"/>
      <c r="D6" s="3"/>
      <c r="E6" s="3"/>
      <c r="F6" s="3"/>
      <c r="G6" s="3"/>
      <c r="H6" s="3"/>
      <c r="I6" s="3"/>
    </row>
    <row r="7" spans="1:9" ht="15" customHeight="1" x14ac:dyDescent="0.2">
      <c r="A7" s="4"/>
      <c r="B7" s="4"/>
      <c r="C7" s="4"/>
      <c r="D7" s="4"/>
      <c r="E7" s="4"/>
      <c r="F7" s="4"/>
      <c r="G7" s="4"/>
      <c r="H7" s="4"/>
      <c r="I7" s="4"/>
    </row>
    <row r="8" spans="1:9" ht="15" customHeight="1" x14ac:dyDescent="0.2">
      <c r="A8" s="3"/>
      <c r="B8" s="3"/>
      <c r="C8" s="3"/>
      <c r="D8" s="3"/>
      <c r="E8" s="3"/>
      <c r="F8" s="3"/>
      <c r="G8" s="3"/>
      <c r="H8" s="3"/>
      <c r="I8" s="3"/>
    </row>
    <row r="9" spans="1:9" ht="15" customHeight="1" x14ac:dyDescent="0.2">
      <c r="A9" s="4"/>
      <c r="B9" s="4"/>
      <c r="C9" s="4"/>
      <c r="D9" s="4"/>
      <c r="E9" s="4"/>
      <c r="F9" s="4"/>
      <c r="G9" s="4"/>
      <c r="H9" s="4"/>
      <c r="I9" s="4"/>
    </row>
    <row r="10" spans="1:9" ht="15" customHeight="1" x14ac:dyDescent="0.2">
      <c r="A10" s="3"/>
      <c r="B10" s="3"/>
      <c r="C10" s="3"/>
      <c r="D10" s="3"/>
      <c r="E10" s="3"/>
      <c r="F10" s="3"/>
      <c r="G10" s="3"/>
      <c r="H10" s="3"/>
      <c r="I10" s="3"/>
    </row>
    <row r="11" spans="1:9" ht="15" customHeight="1" x14ac:dyDescent="0.2">
      <c r="A11" s="4"/>
      <c r="B11" s="4"/>
      <c r="C11" s="4"/>
      <c r="D11" s="4"/>
      <c r="E11" s="4"/>
      <c r="F11" s="4"/>
      <c r="G11" s="4"/>
      <c r="H11" s="4"/>
      <c r="I11" s="4"/>
    </row>
    <row r="12" spans="1:9" ht="15" customHeight="1" x14ac:dyDescent="0.2">
      <c r="A12" s="3"/>
      <c r="B12" s="3"/>
      <c r="C12" s="3"/>
      <c r="D12" s="3"/>
      <c r="E12" s="3"/>
      <c r="F12" s="3"/>
      <c r="G12" s="3"/>
      <c r="H12" s="3"/>
      <c r="I12" s="3"/>
    </row>
    <row r="13" spans="1:9" ht="15" customHeight="1" x14ac:dyDescent="0.2">
      <c r="A13" s="4"/>
      <c r="B13" s="4"/>
      <c r="C13" s="4"/>
      <c r="D13" s="4"/>
      <c r="E13" s="4"/>
      <c r="F13" s="4"/>
      <c r="G13" s="4"/>
      <c r="H13" s="4"/>
      <c r="I13" s="4"/>
    </row>
    <row r="14" spans="1:9" ht="15" customHeight="1" x14ac:dyDescent="0.2">
      <c r="A14" s="3"/>
      <c r="B14" s="3"/>
      <c r="C14" s="3"/>
      <c r="D14" s="3"/>
      <c r="E14" s="3"/>
      <c r="F14" s="3"/>
      <c r="G14" s="3"/>
      <c r="H14" s="3"/>
      <c r="I14" s="3"/>
    </row>
    <row r="15" spans="1:9" ht="15" customHeight="1" x14ac:dyDescent="0.2">
      <c r="A15" s="4"/>
      <c r="B15" s="4"/>
      <c r="C15" s="4"/>
      <c r="D15" s="4"/>
      <c r="E15" s="4"/>
      <c r="F15" s="4"/>
      <c r="G15" s="4"/>
      <c r="H15" s="4"/>
      <c r="I15" s="4"/>
    </row>
    <row r="16" spans="1:9" ht="15" customHeight="1" x14ac:dyDescent="0.2">
      <c r="A16" s="3"/>
      <c r="B16" s="3"/>
      <c r="C16" s="3"/>
      <c r="D16" s="3"/>
      <c r="E16" s="3"/>
      <c r="F16" s="3"/>
      <c r="G16" s="3"/>
      <c r="H16" s="3"/>
      <c r="I16" s="3"/>
    </row>
    <row r="17" spans="1:9" ht="15" customHeight="1" x14ac:dyDescent="0.2">
      <c r="A17" s="4"/>
      <c r="B17" s="4"/>
      <c r="C17" s="4"/>
      <c r="D17" s="4"/>
      <c r="E17" s="4"/>
      <c r="F17" s="4"/>
      <c r="G17" s="4"/>
      <c r="H17" s="4"/>
      <c r="I17" s="4"/>
    </row>
    <row r="18" spans="1:9" ht="15" customHeight="1" x14ac:dyDescent="0.2">
      <c r="A18" s="3"/>
      <c r="B18" s="3"/>
      <c r="C18" s="3"/>
      <c r="D18" s="3"/>
      <c r="E18" s="3"/>
      <c r="F18" s="3"/>
      <c r="G18" s="3"/>
      <c r="H18" s="3"/>
      <c r="I18" s="3"/>
    </row>
    <row r="19" spans="1:9" ht="15" customHeight="1" x14ac:dyDescent="0.2">
      <c r="A19" s="4"/>
      <c r="B19" s="4"/>
      <c r="C19" s="4"/>
      <c r="D19" s="4"/>
      <c r="E19" s="4"/>
      <c r="F19" s="4"/>
      <c r="G19" s="4"/>
      <c r="H19" s="4"/>
      <c r="I19" s="4"/>
    </row>
    <row r="20" spans="1:9" ht="15" customHeight="1" x14ac:dyDescent="0.2">
      <c r="A20" s="3"/>
      <c r="B20" s="3"/>
      <c r="C20" s="3"/>
      <c r="D20" s="3"/>
      <c r="E20" s="3"/>
      <c r="F20" s="3"/>
      <c r="G20" s="3"/>
      <c r="H20" s="3"/>
      <c r="I20" s="3"/>
    </row>
    <row r="21" spans="1:9" ht="15" customHeight="1" x14ac:dyDescent="0.2">
      <c r="A21" s="4"/>
      <c r="B21" s="4"/>
      <c r="C21" s="4"/>
      <c r="D21" s="4"/>
      <c r="E21" s="4"/>
      <c r="F21" s="4"/>
      <c r="G21" s="4"/>
      <c r="H21" s="4"/>
      <c r="I21" s="4"/>
    </row>
    <row r="22" spans="1:9" ht="15" customHeight="1" x14ac:dyDescent="0.2">
      <c r="A22" s="3"/>
      <c r="B22" s="3"/>
      <c r="C22" s="3"/>
      <c r="D22" s="3"/>
      <c r="E22" s="3"/>
      <c r="F22" s="3"/>
      <c r="G22" s="3"/>
      <c r="H22" s="3"/>
      <c r="I22" s="3"/>
    </row>
    <row r="23" spans="1:9" ht="15" customHeight="1" x14ac:dyDescent="0.2">
      <c r="A23" s="4"/>
      <c r="B23" s="4"/>
      <c r="C23" s="4"/>
      <c r="D23" s="4"/>
      <c r="E23" s="4"/>
      <c r="F23" s="4"/>
      <c r="G23" s="4"/>
      <c r="H23" s="4"/>
      <c r="I23" s="4"/>
    </row>
    <row r="24" spans="1:9" ht="15" customHeight="1" x14ac:dyDescent="0.2">
      <c r="A24" s="3"/>
      <c r="B24" s="3"/>
      <c r="C24" s="3"/>
      <c r="D24" s="3"/>
      <c r="E24" s="3"/>
      <c r="F24" s="3"/>
      <c r="G24" s="3"/>
      <c r="H24" s="3"/>
      <c r="I24" s="3"/>
    </row>
    <row r="25" spans="1:9" ht="15" customHeight="1" x14ac:dyDescent="0.2">
      <c r="A25" s="4"/>
      <c r="B25" s="4"/>
      <c r="C25" s="4"/>
      <c r="D25" s="4"/>
      <c r="E25" s="4"/>
      <c r="F25" s="4"/>
      <c r="G25" s="4"/>
      <c r="H25" s="4"/>
      <c r="I25" s="4"/>
    </row>
    <row r="26" spans="1:9" ht="15" customHeight="1" x14ac:dyDescent="0.2">
      <c r="A26" s="3"/>
      <c r="B26" s="3"/>
      <c r="C26" s="3"/>
      <c r="D26" s="3"/>
      <c r="E26" s="3"/>
      <c r="F26" s="3"/>
      <c r="G26" s="3"/>
      <c r="H26" s="3"/>
      <c r="I26" s="3"/>
    </row>
    <row r="27" spans="1:9" ht="15" customHeight="1" x14ac:dyDescent="0.2">
      <c r="A27" s="4"/>
      <c r="B27" s="4"/>
      <c r="C27" s="4"/>
      <c r="D27" s="4"/>
      <c r="E27" s="4"/>
      <c r="F27" s="4"/>
      <c r="G27" s="4"/>
      <c r="H27" s="4"/>
      <c r="I27" s="4"/>
    </row>
    <row r="28" spans="1:9" ht="15" customHeight="1" x14ac:dyDescent="0.2">
      <c r="A28" s="3"/>
      <c r="B28" s="3"/>
      <c r="C28" s="3"/>
      <c r="D28" s="3"/>
      <c r="E28" s="3"/>
      <c r="F28" s="3"/>
      <c r="G28" s="3"/>
      <c r="H28" s="3"/>
      <c r="I28" s="3"/>
    </row>
    <row r="29" spans="1:9" ht="15" customHeight="1" x14ac:dyDescent="0.2">
      <c r="A29" s="4"/>
      <c r="B29" s="4"/>
      <c r="C29" s="4"/>
      <c r="D29" s="4"/>
      <c r="E29" s="4"/>
      <c r="F29" s="4"/>
      <c r="G29" s="4"/>
      <c r="H29" s="4"/>
      <c r="I29" s="4"/>
    </row>
    <row r="30" spans="1:9" ht="15" customHeight="1" x14ac:dyDescent="0.2">
      <c r="A30" s="3"/>
      <c r="B30" s="3"/>
      <c r="C30" s="3"/>
      <c r="D30" s="3"/>
      <c r="E30" s="3"/>
      <c r="F30" s="3"/>
      <c r="G30" s="3"/>
      <c r="H30" s="3"/>
      <c r="I30" s="3"/>
    </row>
    <row r="31" spans="1:9" ht="15" customHeight="1" x14ac:dyDescent="0.2">
      <c r="A31" s="4"/>
      <c r="B31" s="4"/>
      <c r="C31" s="4"/>
      <c r="D31" s="4"/>
      <c r="E31" s="4"/>
      <c r="F31" s="4"/>
      <c r="G31" s="4"/>
      <c r="H31" s="4"/>
      <c r="I31" s="4"/>
    </row>
    <row r="32" spans="1:9" ht="15" customHeight="1" x14ac:dyDescent="0.2">
      <c r="A32" s="3"/>
      <c r="B32" s="3"/>
      <c r="C32" s="3"/>
      <c r="D32" s="3"/>
      <c r="E32" s="3"/>
      <c r="F32" s="3"/>
      <c r="G32" s="3"/>
      <c r="H32" s="3"/>
      <c r="I32" s="3"/>
    </row>
    <row r="33" spans="1:9" ht="15" customHeight="1" x14ac:dyDescent="0.2">
      <c r="A33" s="4"/>
      <c r="B33" s="4"/>
      <c r="C33" s="4"/>
      <c r="D33" s="4"/>
      <c r="E33" s="4"/>
      <c r="F33" s="4"/>
      <c r="G33" s="4"/>
      <c r="H33" s="4"/>
      <c r="I33" s="4"/>
    </row>
    <row r="34" spans="1:9" ht="15" customHeight="1" x14ac:dyDescent="0.2">
      <c r="A34" s="3"/>
      <c r="B34" s="3"/>
      <c r="C34" s="3"/>
      <c r="D34" s="3"/>
      <c r="E34" s="3"/>
      <c r="F34" s="3"/>
      <c r="G34" s="3"/>
      <c r="H34" s="3"/>
      <c r="I34" s="3"/>
    </row>
    <row r="35" spans="1:9" ht="15" customHeight="1" x14ac:dyDescent="0.2">
      <c r="A35" s="4"/>
      <c r="B35" s="4"/>
      <c r="C35" s="4"/>
      <c r="D35" s="4"/>
      <c r="E35" s="4"/>
      <c r="F35" s="4"/>
      <c r="G35" s="4"/>
      <c r="H35" s="4"/>
      <c r="I35" s="4"/>
    </row>
    <row r="36" spans="1:9" ht="15" customHeight="1" x14ac:dyDescent="0.2">
      <c r="A36" s="3"/>
      <c r="B36" s="3"/>
      <c r="C36" s="3"/>
      <c r="D36" s="3"/>
      <c r="E36" s="3"/>
      <c r="F36" s="3"/>
      <c r="G36" s="3"/>
      <c r="H36" s="3"/>
      <c r="I36" s="3"/>
    </row>
    <row r="37" spans="1:9" ht="15" customHeight="1" x14ac:dyDescent="0.2">
      <c r="A37" s="4"/>
      <c r="B37" s="4"/>
      <c r="C37" s="4"/>
      <c r="D37" s="4"/>
      <c r="E37" s="4"/>
      <c r="F37" s="4"/>
      <c r="G37" s="4"/>
      <c r="H37" s="4"/>
      <c r="I37" s="4"/>
    </row>
    <row r="38" spans="1:9" ht="15" customHeight="1" x14ac:dyDescent="0.2">
      <c r="A38" s="3"/>
      <c r="B38" s="3"/>
      <c r="C38" s="3"/>
      <c r="D38" s="3"/>
      <c r="E38" s="3"/>
      <c r="F38" s="3"/>
      <c r="G38" s="3"/>
      <c r="H38" s="3"/>
      <c r="I38" s="3"/>
    </row>
    <row r="39" spans="1:9" ht="15" customHeight="1" x14ac:dyDescent="0.2">
      <c r="A39" s="4"/>
      <c r="B39" s="4"/>
      <c r="C39" s="4"/>
      <c r="D39" s="4"/>
      <c r="E39" s="4"/>
      <c r="F39" s="4"/>
      <c r="G39" s="4"/>
      <c r="H39" s="4"/>
      <c r="I39" s="4"/>
    </row>
    <row r="40" spans="1:9" ht="15" customHeight="1" x14ac:dyDescent="0.2">
      <c r="A40" s="3"/>
      <c r="B40" s="3"/>
      <c r="C40" s="3"/>
      <c r="D40" s="3"/>
      <c r="E40" s="3"/>
      <c r="F40" s="3"/>
      <c r="G40" s="3"/>
      <c r="H40" s="3"/>
      <c r="I40" s="3"/>
    </row>
    <row r="41" spans="1:9" ht="15" customHeight="1" x14ac:dyDescent="0.2">
      <c r="A41" s="4"/>
      <c r="B41" s="4"/>
      <c r="C41" s="4"/>
      <c r="D41" s="4"/>
      <c r="E41" s="4"/>
      <c r="F41" s="4"/>
      <c r="G41" s="4"/>
      <c r="H41" s="4"/>
      <c r="I41" s="4"/>
    </row>
    <row r="42" spans="1:9" ht="15" customHeight="1" x14ac:dyDescent="0.2">
      <c r="A42" s="3"/>
      <c r="B42" s="3"/>
      <c r="C42" s="3"/>
      <c r="D42" s="3"/>
      <c r="E42" s="3"/>
      <c r="F42" s="3"/>
      <c r="G42" s="3"/>
      <c r="H42" s="3"/>
      <c r="I42" s="3"/>
    </row>
    <row r="43" spans="1:9" ht="15" customHeight="1" x14ac:dyDescent="0.2">
      <c r="A43" s="4"/>
      <c r="B43" s="4"/>
      <c r="C43" s="4"/>
      <c r="D43" s="4"/>
      <c r="E43" s="4"/>
      <c r="F43" s="4"/>
      <c r="G43" s="4"/>
      <c r="H43" s="4"/>
      <c r="I43" s="4"/>
    </row>
    <row r="44" spans="1:9" ht="15" customHeight="1" x14ac:dyDescent="0.2">
      <c r="A44" s="3"/>
      <c r="B44" s="3"/>
      <c r="C44" s="3"/>
      <c r="D44" s="3"/>
      <c r="E44" s="3"/>
      <c r="F44" s="3"/>
      <c r="G44" s="3"/>
      <c r="H44" s="3"/>
      <c r="I44" s="3"/>
    </row>
    <row r="45" spans="1:9" ht="15" customHeight="1" x14ac:dyDescent="0.2">
      <c r="A45" s="4"/>
      <c r="B45" s="4"/>
      <c r="C45" s="4"/>
      <c r="D45" s="4"/>
      <c r="E45" s="4"/>
      <c r="F45" s="4"/>
      <c r="G45" s="4"/>
      <c r="H45" s="4"/>
      <c r="I45" s="4"/>
    </row>
    <row r="46" spans="1:9" ht="15" customHeight="1" x14ac:dyDescent="0.2">
      <c r="A46" s="3"/>
      <c r="B46" s="3"/>
      <c r="C46" s="3"/>
      <c r="D46" s="3"/>
      <c r="E46" s="3"/>
      <c r="F46" s="3"/>
      <c r="G46" s="3"/>
      <c r="H46" s="3"/>
      <c r="I46" s="3"/>
    </row>
    <row r="47" spans="1:9" ht="15" customHeight="1" x14ac:dyDescent="0.2">
      <c r="A47" s="4"/>
      <c r="B47" s="4"/>
      <c r="C47" s="4"/>
      <c r="D47" s="4"/>
      <c r="E47" s="4"/>
      <c r="F47" s="4"/>
      <c r="G47" s="4"/>
      <c r="H47" s="4"/>
      <c r="I47" s="4"/>
    </row>
    <row r="48" spans="1:9" ht="15" customHeight="1" x14ac:dyDescent="0.2">
      <c r="A48" s="3"/>
      <c r="B48" s="3"/>
      <c r="C48" s="3"/>
      <c r="D48" s="3"/>
      <c r="E48" s="3"/>
      <c r="F48" s="3"/>
      <c r="G48" s="3"/>
      <c r="H48" s="3"/>
      <c r="I48" s="3"/>
    </row>
    <row r="49" spans="1:9" ht="15" customHeight="1" x14ac:dyDescent="0.2">
      <c r="A49" s="4"/>
      <c r="B49" s="4"/>
      <c r="C49" s="4"/>
      <c r="D49" s="4"/>
      <c r="E49" s="4"/>
      <c r="F49" s="4"/>
      <c r="G49" s="4"/>
      <c r="H49" s="4"/>
      <c r="I49" s="4"/>
    </row>
    <row r="50" spans="1:9" ht="15" customHeight="1" x14ac:dyDescent="0.2">
      <c r="A50" s="3"/>
      <c r="B50" s="3"/>
      <c r="C50" s="3"/>
      <c r="D50" s="3"/>
      <c r="E50" s="3"/>
      <c r="F50" s="3"/>
      <c r="G50" s="3"/>
      <c r="H50" s="3"/>
      <c r="I50" s="3"/>
    </row>
    <row r="51" spans="1:9" ht="15" customHeight="1" x14ac:dyDescent="0.2">
      <c r="A51" s="4"/>
      <c r="B51" s="4"/>
      <c r="C51" s="4"/>
      <c r="D51" s="4"/>
      <c r="E51" s="4"/>
      <c r="F51" s="4"/>
      <c r="G51" s="4"/>
      <c r="H51" s="4"/>
      <c r="I51" s="4"/>
    </row>
    <row r="52" spans="1:9" ht="15" customHeight="1" x14ac:dyDescent="0.2">
      <c r="A52" s="3"/>
      <c r="B52" s="3"/>
      <c r="C52" s="3"/>
      <c r="D52" s="3"/>
      <c r="E52" s="3"/>
      <c r="F52" s="3"/>
      <c r="G52" s="3"/>
      <c r="H52" s="3"/>
      <c r="I52" s="3"/>
    </row>
    <row r="53" spans="1:9" ht="15" customHeight="1" x14ac:dyDescent="0.2">
      <c r="A53" s="4"/>
      <c r="B53" s="4"/>
      <c r="C53" s="4"/>
      <c r="D53" s="4"/>
      <c r="E53" s="4"/>
      <c r="F53" s="4"/>
      <c r="G53" s="4"/>
      <c r="H53" s="4"/>
      <c r="I53" s="4"/>
    </row>
    <row r="54" spans="1:9" ht="15" customHeight="1" x14ac:dyDescent="0.2">
      <c r="A54" s="3"/>
      <c r="B54" s="3"/>
      <c r="C54" s="3"/>
      <c r="D54" s="3"/>
      <c r="E54" s="3"/>
      <c r="F54" s="3"/>
      <c r="G54" s="3"/>
      <c r="H54" s="3"/>
      <c r="I54" s="3"/>
    </row>
    <row r="55" spans="1:9" ht="15" customHeight="1" x14ac:dyDescent="0.2">
      <c r="A55" s="4"/>
      <c r="B55" s="4"/>
      <c r="C55" s="4"/>
      <c r="D55" s="4"/>
      <c r="E55" s="4"/>
      <c r="F55" s="4"/>
      <c r="G55" s="4"/>
      <c r="H55" s="4"/>
      <c r="I55" s="4"/>
    </row>
    <row r="56" spans="1:9" ht="15" customHeight="1" x14ac:dyDescent="0.2">
      <c r="A56" s="3"/>
      <c r="B56" s="3"/>
      <c r="C56" s="3"/>
      <c r="D56" s="3"/>
      <c r="E56" s="3"/>
      <c r="F56" s="3"/>
      <c r="G56" s="3"/>
      <c r="H56" s="3"/>
      <c r="I56" s="3"/>
    </row>
    <row r="57" spans="1:9" ht="15" customHeight="1" x14ac:dyDescent="0.2">
      <c r="A57" s="4"/>
      <c r="B57" s="4"/>
      <c r="C57" s="4"/>
      <c r="D57" s="4"/>
      <c r="E57" s="4"/>
      <c r="F57" s="4"/>
      <c r="G57" s="4"/>
      <c r="H57" s="4"/>
      <c r="I57" s="4"/>
    </row>
    <row r="58" spans="1:9" ht="15" customHeight="1" x14ac:dyDescent="0.2">
      <c r="A58" s="3"/>
      <c r="B58" s="3"/>
      <c r="C58" s="3"/>
      <c r="D58" s="3"/>
      <c r="E58" s="3"/>
      <c r="F58" s="3"/>
      <c r="G58" s="3"/>
      <c r="H58" s="3"/>
      <c r="I58" s="3"/>
    </row>
    <row r="59" spans="1:9" ht="15" customHeight="1" x14ac:dyDescent="0.2">
      <c r="A59" s="4"/>
      <c r="B59" s="4"/>
      <c r="C59" s="4"/>
      <c r="D59" s="4"/>
      <c r="E59" s="4"/>
      <c r="F59" s="4"/>
      <c r="G59" s="4"/>
      <c r="H59" s="4"/>
      <c r="I59" s="4"/>
    </row>
    <row r="60" spans="1:9" ht="15" customHeight="1" x14ac:dyDescent="0.2">
      <c r="A60" s="3"/>
      <c r="B60" s="3"/>
      <c r="C60" s="3"/>
      <c r="D60" s="3"/>
      <c r="E60" s="3"/>
      <c r="F60" s="3"/>
      <c r="G60" s="3"/>
      <c r="H60" s="3"/>
      <c r="I60" s="3"/>
    </row>
    <row r="61" spans="1:9" ht="15" customHeight="1" x14ac:dyDescent="0.2">
      <c r="A61" s="4"/>
      <c r="B61" s="4"/>
      <c r="C61" s="4"/>
      <c r="D61" s="4"/>
      <c r="E61" s="4"/>
      <c r="F61" s="4"/>
      <c r="G61" s="4"/>
      <c r="H61" s="4"/>
      <c r="I61" s="4"/>
    </row>
    <row r="62" spans="1:9" ht="15" customHeight="1" x14ac:dyDescent="0.2">
      <c r="A62" s="3"/>
      <c r="B62" s="3"/>
      <c r="C62" s="3"/>
      <c r="D62" s="3"/>
      <c r="E62" s="3"/>
      <c r="F62" s="3"/>
      <c r="G62" s="3"/>
      <c r="H62" s="3"/>
      <c r="I62" s="3"/>
    </row>
    <row r="63" spans="1:9" ht="15" customHeight="1" x14ac:dyDescent="0.2">
      <c r="A63" s="4"/>
      <c r="B63" s="4"/>
      <c r="C63" s="4"/>
      <c r="D63" s="4"/>
      <c r="E63" s="4"/>
      <c r="F63" s="4"/>
      <c r="G63" s="4"/>
      <c r="H63" s="4"/>
      <c r="I63" s="4"/>
    </row>
    <row r="64" spans="1:9" ht="15" customHeight="1" x14ac:dyDescent="0.2">
      <c r="A64" s="3"/>
      <c r="B64" s="3"/>
      <c r="C64" s="3"/>
      <c r="D64" s="3"/>
      <c r="E64" s="3"/>
      <c r="F64" s="3"/>
      <c r="G64" s="3"/>
      <c r="H64" s="3"/>
      <c r="I64" s="3"/>
    </row>
    <row r="65" spans="1:9" ht="15" customHeight="1" x14ac:dyDescent="0.2">
      <c r="A65" s="4"/>
      <c r="B65" s="4"/>
      <c r="C65" s="4"/>
      <c r="D65" s="4"/>
      <c r="E65" s="4"/>
      <c r="F65" s="4"/>
      <c r="G65" s="4"/>
      <c r="H65" s="4"/>
      <c r="I65" s="4"/>
    </row>
    <row r="66" spans="1:9" ht="15" customHeight="1" x14ac:dyDescent="0.2">
      <c r="A66" s="3"/>
      <c r="B66" s="3"/>
      <c r="C66" s="3"/>
      <c r="D66" s="3"/>
      <c r="E66" s="3"/>
      <c r="F66" s="3"/>
      <c r="G66" s="3"/>
      <c r="H66" s="3"/>
      <c r="I66" s="3"/>
    </row>
    <row r="67" spans="1:9" ht="15" customHeight="1" x14ac:dyDescent="0.2">
      <c r="A67" s="4"/>
      <c r="B67" s="4"/>
      <c r="C67" s="4"/>
      <c r="D67" s="4"/>
      <c r="E67" s="4"/>
      <c r="F67" s="4"/>
      <c r="G67" s="4"/>
      <c r="H67" s="4"/>
      <c r="I67" s="4"/>
    </row>
    <row r="68" spans="1:9" ht="15" customHeight="1" x14ac:dyDescent="0.2">
      <c r="A68" s="3"/>
      <c r="B68" s="3"/>
      <c r="C68" s="3"/>
      <c r="D68" s="3"/>
      <c r="E68" s="3"/>
      <c r="F68" s="3"/>
      <c r="G68" s="3"/>
      <c r="H68" s="3"/>
      <c r="I68" s="3"/>
    </row>
    <row r="69" spans="1:9" ht="15" customHeight="1" x14ac:dyDescent="0.2">
      <c r="A69" s="4"/>
      <c r="B69" s="4"/>
      <c r="C69" s="4"/>
      <c r="D69" s="4"/>
      <c r="E69" s="4"/>
      <c r="F69" s="4"/>
      <c r="G69" s="4"/>
      <c r="H69" s="4"/>
      <c r="I69" s="4"/>
    </row>
    <row r="70" spans="1:9" ht="15" customHeight="1" x14ac:dyDescent="0.2">
      <c r="A70" s="3"/>
      <c r="B70" s="3"/>
      <c r="C70" s="3"/>
      <c r="D70" s="3"/>
      <c r="E70" s="3"/>
      <c r="F70" s="3"/>
      <c r="G70" s="3"/>
      <c r="H70" s="3"/>
      <c r="I70" s="3"/>
    </row>
    <row r="71" spans="1:9" ht="15" customHeight="1" x14ac:dyDescent="0.2">
      <c r="A71" s="4"/>
      <c r="B71" s="4"/>
      <c r="C71" s="4"/>
      <c r="D71" s="4"/>
      <c r="E71" s="4"/>
      <c r="F71" s="4"/>
      <c r="G71" s="4"/>
      <c r="H71" s="4"/>
      <c r="I71" s="4"/>
    </row>
    <row r="72" spans="1:9" ht="15" customHeight="1" x14ac:dyDescent="0.2">
      <c r="A72" s="3"/>
      <c r="B72" s="3"/>
      <c r="C72" s="3"/>
      <c r="D72" s="3"/>
      <c r="E72" s="3"/>
      <c r="F72" s="3"/>
      <c r="G72" s="3"/>
      <c r="H72" s="3"/>
      <c r="I72" s="3"/>
    </row>
    <row r="73" spans="1:9" ht="15" customHeight="1" x14ac:dyDescent="0.2">
      <c r="A73" s="4"/>
      <c r="B73" s="4"/>
      <c r="C73" s="4"/>
      <c r="D73" s="4"/>
      <c r="E73" s="4"/>
      <c r="F73" s="4"/>
      <c r="G73" s="4"/>
      <c r="H73" s="4"/>
      <c r="I73" s="4"/>
    </row>
    <row r="74" spans="1:9" ht="15" customHeight="1" x14ac:dyDescent="0.2">
      <c r="A74" s="3"/>
      <c r="B74" s="3"/>
      <c r="C74" s="3"/>
      <c r="D74" s="3"/>
      <c r="E74" s="3"/>
      <c r="F74" s="3"/>
      <c r="G74" s="3"/>
      <c r="H74" s="3"/>
      <c r="I74" s="3"/>
    </row>
    <row r="75" spans="1:9" ht="15" customHeight="1" x14ac:dyDescent="0.2">
      <c r="A75" s="4"/>
      <c r="B75" s="4"/>
      <c r="C75" s="4"/>
      <c r="D75" s="4"/>
      <c r="E75" s="4"/>
      <c r="F75" s="4"/>
      <c r="G75" s="4"/>
      <c r="H75" s="4"/>
      <c r="I75" s="4"/>
    </row>
    <row r="76" spans="1:9" ht="15" customHeight="1" x14ac:dyDescent="0.2">
      <c r="A76" s="3"/>
      <c r="B76" s="3"/>
      <c r="C76" s="3"/>
      <c r="D76" s="3"/>
      <c r="E76" s="3"/>
      <c r="F76" s="3"/>
      <c r="G76" s="3"/>
      <c r="H76" s="3"/>
      <c r="I76" s="3"/>
    </row>
    <row r="77" spans="1:9" ht="15" customHeight="1" x14ac:dyDescent="0.2">
      <c r="A77" s="4"/>
      <c r="B77" s="4"/>
      <c r="C77" s="4"/>
      <c r="D77" s="4"/>
      <c r="E77" s="4"/>
      <c r="F77" s="4"/>
      <c r="G77" s="4"/>
      <c r="H77" s="4"/>
      <c r="I77" s="4"/>
    </row>
    <row r="78" spans="1:9" ht="15" customHeight="1" x14ac:dyDescent="0.2">
      <c r="A78" s="3"/>
      <c r="B78" s="3"/>
      <c r="C78" s="3"/>
      <c r="D78" s="3"/>
      <c r="E78" s="3"/>
      <c r="F78" s="3"/>
      <c r="G78" s="3"/>
      <c r="H78" s="3"/>
      <c r="I78" s="3"/>
    </row>
    <row r="79" spans="1:9" ht="15" customHeight="1" x14ac:dyDescent="0.2">
      <c r="A79" s="4"/>
      <c r="B79" s="4"/>
      <c r="C79" s="4"/>
      <c r="D79" s="4"/>
      <c r="E79" s="4"/>
      <c r="F79" s="4"/>
      <c r="G79" s="4"/>
      <c r="H79" s="4"/>
      <c r="I79" s="4"/>
    </row>
    <row r="80" spans="1:9" ht="15" customHeight="1" x14ac:dyDescent="0.2">
      <c r="A80" s="3"/>
      <c r="B80" s="3"/>
      <c r="C80" s="3"/>
      <c r="D80" s="3"/>
      <c r="E80" s="3"/>
      <c r="F80" s="3"/>
      <c r="G80" s="3"/>
      <c r="H80" s="3"/>
      <c r="I80" s="3"/>
    </row>
    <row r="81" spans="1:9" ht="15" customHeight="1" x14ac:dyDescent="0.2">
      <c r="A81" s="4"/>
      <c r="B81" s="4"/>
      <c r="C81" s="4"/>
      <c r="D81" s="4"/>
      <c r="E81" s="4"/>
      <c r="F81" s="4"/>
      <c r="G81" s="4"/>
      <c r="H81" s="4"/>
      <c r="I81" s="4"/>
    </row>
    <row r="82" spans="1:9" ht="15" customHeight="1" x14ac:dyDescent="0.2">
      <c r="A82" s="3"/>
      <c r="B82" s="3"/>
      <c r="C82" s="3"/>
      <c r="D82" s="3"/>
      <c r="E82" s="3"/>
      <c r="F82" s="3"/>
      <c r="G82" s="3"/>
      <c r="H82" s="3"/>
      <c r="I82" s="3"/>
    </row>
    <row r="83" spans="1:9" ht="15" customHeight="1" x14ac:dyDescent="0.2">
      <c r="A83" s="4"/>
      <c r="B83" s="4"/>
      <c r="C83" s="4"/>
      <c r="D83" s="4"/>
      <c r="E83" s="4"/>
      <c r="F83" s="4"/>
      <c r="G83" s="4"/>
      <c r="H83" s="4"/>
      <c r="I83" s="4"/>
    </row>
    <row r="84" spans="1:9" ht="15" customHeight="1" x14ac:dyDescent="0.2">
      <c r="A84" s="3"/>
      <c r="B84" s="3"/>
      <c r="C84" s="3"/>
      <c r="D84" s="3"/>
      <c r="E84" s="3"/>
      <c r="F84" s="3"/>
      <c r="G84" s="3"/>
      <c r="H84" s="3"/>
      <c r="I84" s="3"/>
    </row>
    <row r="85" spans="1:9" ht="15" customHeight="1" x14ac:dyDescent="0.2">
      <c r="A85" s="4"/>
      <c r="B85" s="4"/>
      <c r="C85" s="4"/>
      <c r="D85" s="4"/>
      <c r="E85" s="4"/>
      <c r="F85" s="4"/>
      <c r="G85" s="4"/>
      <c r="H85" s="4"/>
      <c r="I85" s="4"/>
    </row>
    <row r="86" spans="1:9" ht="15" customHeight="1" x14ac:dyDescent="0.2">
      <c r="A86" s="3"/>
      <c r="B86" s="3"/>
      <c r="C86" s="3"/>
      <c r="D86" s="3"/>
      <c r="E86" s="3"/>
      <c r="F86" s="3"/>
      <c r="G86" s="3"/>
      <c r="H86" s="3"/>
      <c r="I86" s="3"/>
    </row>
    <row r="87" spans="1:9" ht="15" customHeight="1" x14ac:dyDescent="0.2">
      <c r="A87" s="4"/>
      <c r="B87" s="4"/>
      <c r="C87" s="4"/>
      <c r="D87" s="4"/>
      <c r="E87" s="4"/>
      <c r="F87" s="4"/>
      <c r="G87" s="4"/>
      <c r="H87" s="4"/>
      <c r="I87" s="4"/>
    </row>
    <row r="88" spans="1:9" ht="15" customHeight="1" x14ac:dyDescent="0.2">
      <c r="A88" s="3"/>
      <c r="B88" s="3"/>
      <c r="C88" s="3"/>
      <c r="D88" s="3"/>
      <c r="E88" s="3"/>
      <c r="F88" s="3"/>
      <c r="G88" s="3"/>
      <c r="H88" s="3"/>
      <c r="I88" s="3"/>
    </row>
    <row r="89" spans="1:9" ht="15" customHeight="1" x14ac:dyDescent="0.2">
      <c r="A89" s="4"/>
      <c r="B89" s="4"/>
      <c r="C89" s="4"/>
      <c r="D89" s="4"/>
      <c r="E89" s="4"/>
      <c r="F89" s="4"/>
      <c r="G89" s="4"/>
      <c r="H89" s="4"/>
      <c r="I89" s="4"/>
    </row>
    <row r="90" spans="1:9" ht="15" customHeight="1" x14ac:dyDescent="0.2">
      <c r="A90" s="3"/>
      <c r="B90" s="3"/>
      <c r="C90" s="3"/>
      <c r="D90" s="3"/>
      <c r="E90" s="3"/>
      <c r="F90" s="3"/>
      <c r="G90" s="3"/>
      <c r="H90" s="3"/>
      <c r="I90" s="3"/>
    </row>
    <row r="91" spans="1:9" ht="15" customHeight="1" x14ac:dyDescent="0.2">
      <c r="A91" s="4"/>
      <c r="B91" s="4"/>
      <c r="C91" s="4"/>
      <c r="D91" s="4"/>
      <c r="E91" s="4"/>
      <c r="F91" s="4"/>
      <c r="G91" s="4"/>
      <c r="H91" s="4"/>
      <c r="I91" s="4"/>
    </row>
    <row r="92" spans="1:9" ht="15" customHeight="1" x14ac:dyDescent="0.2">
      <c r="A92" s="3"/>
      <c r="B92" s="3"/>
      <c r="C92" s="3"/>
      <c r="D92" s="3"/>
      <c r="E92" s="3"/>
      <c r="F92" s="3"/>
      <c r="G92" s="3"/>
      <c r="H92" s="3"/>
      <c r="I92" s="3"/>
    </row>
    <row r="93" spans="1:9" ht="15" customHeight="1" x14ac:dyDescent="0.2">
      <c r="A93" s="4"/>
      <c r="B93" s="4"/>
      <c r="C93" s="4"/>
      <c r="D93" s="4"/>
      <c r="E93" s="4"/>
      <c r="F93" s="4"/>
      <c r="G93" s="4"/>
      <c r="H93" s="4"/>
      <c r="I93" s="4"/>
    </row>
    <row r="94" spans="1:9" ht="15" customHeight="1" x14ac:dyDescent="0.2">
      <c r="A94" s="3"/>
      <c r="B94" s="3"/>
      <c r="C94" s="3"/>
      <c r="D94" s="3"/>
      <c r="E94" s="3"/>
      <c r="F94" s="3"/>
      <c r="G94" s="3"/>
      <c r="H94" s="3"/>
      <c r="I94" s="3"/>
    </row>
    <row r="95" spans="1:9" ht="15" customHeight="1" x14ac:dyDescent="0.2">
      <c r="A95" s="4"/>
      <c r="B95" s="4"/>
      <c r="C95" s="4"/>
      <c r="D95" s="4"/>
      <c r="E95" s="4"/>
      <c r="F95" s="4"/>
      <c r="G95" s="4"/>
      <c r="H95" s="4"/>
      <c r="I95" s="4"/>
    </row>
    <row r="96" spans="1:9" ht="15" customHeight="1" x14ac:dyDescent="0.2">
      <c r="A96" s="3"/>
      <c r="B96" s="3"/>
      <c r="C96" s="3"/>
      <c r="D96" s="3"/>
      <c r="E96" s="3"/>
      <c r="F96" s="3"/>
      <c r="G96" s="3"/>
      <c r="H96" s="3"/>
      <c r="I96" s="3"/>
    </row>
    <row r="97" spans="1:9" ht="15" customHeight="1" x14ac:dyDescent="0.2">
      <c r="A97" s="4"/>
      <c r="B97" s="4"/>
      <c r="C97" s="4"/>
      <c r="D97" s="4"/>
      <c r="E97" s="4"/>
      <c r="F97" s="4"/>
      <c r="G97" s="4"/>
      <c r="H97" s="4"/>
      <c r="I97" s="4"/>
    </row>
    <row r="98" spans="1:9" ht="15" customHeight="1" x14ac:dyDescent="0.2">
      <c r="A98" s="3"/>
      <c r="B98" s="3"/>
      <c r="C98" s="3"/>
      <c r="D98" s="3"/>
      <c r="E98" s="3"/>
      <c r="F98" s="3"/>
      <c r="G98" s="3"/>
      <c r="H98" s="3"/>
      <c r="I98" s="3"/>
    </row>
    <row r="99" spans="1:9" ht="15" customHeight="1" x14ac:dyDescent="0.2">
      <c r="A99" s="4"/>
      <c r="B99" s="4"/>
      <c r="C99" s="4"/>
      <c r="D99" s="4"/>
      <c r="E99" s="4"/>
      <c r="F99" s="4"/>
      <c r="G99" s="4"/>
      <c r="H99" s="4"/>
      <c r="I99" s="4"/>
    </row>
    <row r="100" spans="1:9" ht="15" customHeight="1" x14ac:dyDescent="0.2">
      <c r="A100" s="3"/>
      <c r="B100" s="3"/>
      <c r="C100" s="3"/>
      <c r="D100" s="3"/>
      <c r="E100" s="3"/>
      <c r="F100" s="3"/>
      <c r="G100" s="3"/>
      <c r="H100" s="3"/>
      <c r="I100" s="3"/>
    </row>
  </sheetData>
  <mergeCells count="2">
    <mergeCell ref="A2:F2"/>
    <mergeCell ref="A1:F1"/>
  </mergeCells>
  <dataValidations count="3">
    <dataValidation type="list" allowBlank="1" errorTitle="Invalid entry" error="Value not in list" sqref="C5:C500" xr:uid="{00000000-0002-0000-0900-000000000000}">
      <formula1>"Contact,Domain"</formula1>
      <formula2>0</formula2>
    </dataValidation>
    <dataValidation type="list" allowBlank="1" errorTitle="Invalid entry" error="Value not in list" sqref="D5:D500" xr:uid="{00000000-0002-0000-0900-000001000000}">
      <formula1>"Unsubscribe,Not-Interested,Bounce,GDPR Erasure,Manual"</formula1>
      <formula2>0</formula2>
    </dataValidation>
    <dataValidation type="list" allowBlank="1" errorTitle="Invalid entry" error="Value not in list" sqref="H5:H500" xr:uid="{00000000-0002-0000-0900-000002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94"/>
  <sheetViews>
    <sheetView zoomScaleNormal="100" workbookViewId="0">
      <pane ySplit="4" topLeftCell="A5" activePane="bottomLeft" state="frozen"/>
      <selection pane="bottomLeft"/>
    </sheetView>
  </sheetViews>
  <sheetFormatPr baseColWidth="10" defaultColWidth="8.6640625" defaultRowHeight="15" x14ac:dyDescent="0.2"/>
  <cols>
    <col min="1" max="1" width="14" customWidth="1"/>
    <col min="2" max="3" width="34" customWidth="1"/>
    <col min="4" max="4" width="16" customWidth="1"/>
    <col min="5" max="5" width="50" customWidth="1"/>
    <col min="6" max="6" width="14" customWidth="1"/>
    <col min="7" max="7" width="60" customWidth="1"/>
  </cols>
  <sheetData>
    <row r="1" spans="1:7" ht="27.75" customHeight="1" x14ac:dyDescent="0.3">
      <c r="A1" s="20" t="s">
        <v>1112</v>
      </c>
      <c r="B1" s="21"/>
      <c r="C1" s="21"/>
      <c r="D1" s="21"/>
      <c r="E1" s="21"/>
      <c r="F1" s="21"/>
      <c r="G1" s="21"/>
    </row>
    <row r="2" spans="1:7" ht="15" customHeight="1" x14ac:dyDescent="0.2">
      <c r="A2" s="22" t="s">
        <v>1113</v>
      </c>
      <c r="B2" s="21"/>
      <c r="C2" s="21"/>
      <c r="D2" s="21"/>
      <c r="E2" s="21"/>
      <c r="F2" s="21"/>
      <c r="G2" s="21"/>
    </row>
    <row r="4" spans="1:7" ht="27.75" customHeight="1" x14ac:dyDescent="0.2">
      <c r="A4" s="2" t="s">
        <v>1114</v>
      </c>
      <c r="B4" s="2" t="s">
        <v>1115</v>
      </c>
      <c r="C4" s="2" t="s">
        <v>1116</v>
      </c>
      <c r="D4" s="2" t="s">
        <v>1117</v>
      </c>
      <c r="E4" s="2" t="s">
        <v>1118</v>
      </c>
      <c r="F4" s="2" t="s">
        <v>1119</v>
      </c>
      <c r="G4" s="2" t="s">
        <v>1083</v>
      </c>
    </row>
    <row r="5" spans="1:7" ht="23.25" customHeight="1" x14ac:dyDescent="0.2">
      <c r="A5" s="8" t="s">
        <v>1120</v>
      </c>
      <c r="B5" s="3" t="s">
        <v>2</v>
      </c>
      <c r="C5" s="3" t="s">
        <v>1121</v>
      </c>
      <c r="D5" s="3" t="s">
        <v>1122</v>
      </c>
      <c r="E5" s="3"/>
      <c r="F5" s="3" t="s">
        <v>660</v>
      </c>
      <c r="G5" s="3" t="s">
        <v>1123</v>
      </c>
    </row>
    <row r="6" spans="1:7" ht="15" customHeight="1" x14ac:dyDescent="0.2">
      <c r="A6" s="8" t="s">
        <v>1120</v>
      </c>
      <c r="B6" s="3" t="s">
        <v>3</v>
      </c>
      <c r="C6" s="3" t="s">
        <v>3</v>
      </c>
      <c r="D6" s="3" t="s">
        <v>1122</v>
      </c>
      <c r="E6" s="3"/>
      <c r="F6" s="3" t="s">
        <v>646</v>
      </c>
      <c r="G6" s="3" t="s">
        <v>1124</v>
      </c>
    </row>
    <row r="7" spans="1:7" ht="23.25" customHeight="1" x14ac:dyDescent="0.2">
      <c r="A7" s="8" t="s">
        <v>1120</v>
      </c>
      <c r="B7" s="3" t="s">
        <v>4</v>
      </c>
      <c r="C7" s="3" t="s">
        <v>4</v>
      </c>
      <c r="D7" s="3" t="s">
        <v>1125</v>
      </c>
      <c r="E7" s="3" t="s">
        <v>1126</v>
      </c>
      <c r="F7" s="3" t="s">
        <v>646</v>
      </c>
      <c r="G7" s="3" t="s">
        <v>1127</v>
      </c>
    </row>
    <row r="8" spans="1:7" ht="15" customHeight="1" x14ac:dyDescent="0.2">
      <c r="A8" s="8" t="s">
        <v>1120</v>
      </c>
      <c r="B8" s="3" t="s">
        <v>5</v>
      </c>
      <c r="C8" s="3" t="s">
        <v>5</v>
      </c>
      <c r="D8" s="3" t="s">
        <v>1125</v>
      </c>
      <c r="E8" s="3" t="s">
        <v>1128</v>
      </c>
      <c r="F8" s="3" t="s">
        <v>646</v>
      </c>
      <c r="G8" s="3" t="s">
        <v>1129</v>
      </c>
    </row>
    <row r="9" spans="1:7" ht="45.75" customHeight="1" x14ac:dyDescent="0.2">
      <c r="A9" s="8" t="s">
        <v>1120</v>
      </c>
      <c r="B9" s="3" t="s">
        <v>6</v>
      </c>
      <c r="C9" s="3" t="s">
        <v>1130</v>
      </c>
      <c r="D9" s="3" t="s">
        <v>1125</v>
      </c>
      <c r="E9" s="3" t="s">
        <v>1131</v>
      </c>
      <c r="F9" s="3" t="s">
        <v>646</v>
      </c>
      <c r="G9" s="3" t="s">
        <v>1132</v>
      </c>
    </row>
    <row r="10" spans="1:7" ht="15" customHeight="1" x14ac:dyDescent="0.2">
      <c r="A10" s="8" t="s">
        <v>1120</v>
      </c>
      <c r="B10" s="3" t="s">
        <v>7</v>
      </c>
      <c r="C10" s="3" t="s">
        <v>7</v>
      </c>
      <c r="D10" s="3" t="s">
        <v>1133</v>
      </c>
      <c r="E10" s="3"/>
      <c r="F10" s="3" t="s">
        <v>646</v>
      </c>
      <c r="G10" s="3" t="s">
        <v>1134</v>
      </c>
    </row>
    <row r="11" spans="1:7" ht="68.25" customHeight="1" x14ac:dyDescent="0.2">
      <c r="A11" s="8" t="s">
        <v>1120</v>
      </c>
      <c r="B11" s="3" t="s">
        <v>8</v>
      </c>
      <c r="C11" s="3" t="s">
        <v>1135</v>
      </c>
      <c r="D11" s="3" t="s">
        <v>1125</v>
      </c>
      <c r="E11" s="3" t="s">
        <v>1136</v>
      </c>
      <c r="F11" s="3" t="s">
        <v>646</v>
      </c>
      <c r="G11" s="3" t="s">
        <v>1137</v>
      </c>
    </row>
    <row r="12" spans="1:7" ht="23.25" customHeight="1" x14ac:dyDescent="0.2">
      <c r="A12" s="8" t="s">
        <v>1120</v>
      </c>
      <c r="B12" s="3" t="s">
        <v>9</v>
      </c>
      <c r="C12" s="3" t="s">
        <v>1138</v>
      </c>
      <c r="D12" s="3" t="s">
        <v>1125</v>
      </c>
      <c r="E12" s="3" t="s">
        <v>1139</v>
      </c>
      <c r="F12" s="3" t="s">
        <v>653</v>
      </c>
      <c r="G12" s="3" t="s">
        <v>1140</v>
      </c>
    </row>
    <row r="13" spans="1:7" ht="68.25" customHeight="1" x14ac:dyDescent="0.2">
      <c r="A13" s="8" t="s">
        <v>1120</v>
      </c>
      <c r="B13" s="3" t="s">
        <v>10</v>
      </c>
      <c r="C13" s="3" t="s">
        <v>1141</v>
      </c>
      <c r="D13" s="3" t="s">
        <v>1125</v>
      </c>
      <c r="E13" s="3" t="s">
        <v>1142</v>
      </c>
      <c r="F13" s="3" t="s">
        <v>646</v>
      </c>
      <c r="G13" s="3" t="s">
        <v>1143</v>
      </c>
    </row>
    <row r="14" spans="1:7" ht="15" customHeight="1" x14ac:dyDescent="0.2">
      <c r="A14" s="8" t="s">
        <v>1120</v>
      </c>
      <c r="B14" s="3" t="s">
        <v>11</v>
      </c>
      <c r="C14" s="3" t="s">
        <v>1144</v>
      </c>
      <c r="D14" s="3" t="s">
        <v>584</v>
      </c>
      <c r="E14" s="3"/>
      <c r="F14" s="3" t="s">
        <v>646</v>
      </c>
      <c r="G14" s="3" t="s">
        <v>1145</v>
      </c>
    </row>
    <row r="15" spans="1:7" ht="23.25" customHeight="1" x14ac:dyDescent="0.2">
      <c r="A15" s="8" t="s">
        <v>1120</v>
      </c>
      <c r="B15" s="3" t="s">
        <v>12</v>
      </c>
      <c r="C15" s="3" t="s">
        <v>1146</v>
      </c>
      <c r="D15" s="3" t="s">
        <v>1122</v>
      </c>
      <c r="E15" s="3"/>
      <c r="F15" s="3" t="s">
        <v>653</v>
      </c>
      <c r="G15" s="3" t="s">
        <v>1147</v>
      </c>
    </row>
    <row r="16" spans="1:7" ht="34.5" customHeight="1" x14ac:dyDescent="0.2">
      <c r="A16" s="8" t="s">
        <v>1120</v>
      </c>
      <c r="B16" s="3" t="s">
        <v>13</v>
      </c>
      <c r="C16" s="3" t="s">
        <v>1148</v>
      </c>
      <c r="D16" s="3" t="s">
        <v>1125</v>
      </c>
      <c r="E16" s="3" t="s">
        <v>1149</v>
      </c>
      <c r="F16" s="3" t="s">
        <v>646</v>
      </c>
      <c r="G16" s="3" t="s">
        <v>1150</v>
      </c>
    </row>
    <row r="17" spans="1:7" ht="57" customHeight="1" x14ac:dyDescent="0.2">
      <c r="A17" s="8" t="s">
        <v>1120</v>
      </c>
      <c r="B17" s="3" t="s">
        <v>14</v>
      </c>
      <c r="C17" s="3" t="s">
        <v>1151</v>
      </c>
      <c r="D17" s="3" t="s">
        <v>1125</v>
      </c>
      <c r="E17" s="3" t="s">
        <v>1152</v>
      </c>
      <c r="F17" s="3" t="s">
        <v>646</v>
      </c>
      <c r="G17" s="3" t="s">
        <v>1153</v>
      </c>
    </row>
    <row r="18" spans="1:7" ht="23.25" customHeight="1" x14ac:dyDescent="0.2">
      <c r="A18" s="8" t="s">
        <v>1120</v>
      </c>
      <c r="B18" s="3" t="s">
        <v>15</v>
      </c>
      <c r="C18" s="3" t="s">
        <v>1154</v>
      </c>
      <c r="D18" s="3" t="s">
        <v>1125</v>
      </c>
      <c r="E18" s="3" t="s">
        <v>1155</v>
      </c>
      <c r="F18" s="3" t="s">
        <v>646</v>
      </c>
      <c r="G18" s="3" t="s">
        <v>1156</v>
      </c>
    </row>
    <row r="19" spans="1:7" ht="34.5" customHeight="1" x14ac:dyDescent="0.2">
      <c r="A19" s="8" t="s">
        <v>1120</v>
      </c>
      <c r="B19" s="3" t="s">
        <v>16</v>
      </c>
      <c r="C19" s="3" t="s">
        <v>1157</v>
      </c>
      <c r="D19" s="3" t="s">
        <v>1125</v>
      </c>
      <c r="E19" s="3" t="s">
        <v>1158</v>
      </c>
      <c r="F19" s="3" t="s">
        <v>646</v>
      </c>
      <c r="G19" s="3" t="s">
        <v>1159</v>
      </c>
    </row>
    <row r="20" spans="1:7" ht="15" customHeight="1" x14ac:dyDescent="0.2">
      <c r="A20" s="8" t="s">
        <v>1120</v>
      </c>
      <c r="B20" s="3" t="s">
        <v>17</v>
      </c>
      <c r="C20" s="3" t="s">
        <v>1160</v>
      </c>
      <c r="D20" s="3" t="s">
        <v>1133</v>
      </c>
      <c r="E20" s="3"/>
      <c r="F20" s="3" t="s">
        <v>646</v>
      </c>
      <c r="G20" s="3" t="s">
        <v>1161</v>
      </c>
    </row>
    <row r="21" spans="1:7" ht="15" customHeight="1" x14ac:dyDescent="0.2">
      <c r="A21" s="8" t="s">
        <v>1120</v>
      </c>
      <c r="B21" s="3" t="s">
        <v>18</v>
      </c>
      <c r="C21" s="3" t="s">
        <v>1162</v>
      </c>
      <c r="D21" s="3" t="s">
        <v>1133</v>
      </c>
      <c r="E21" s="3"/>
      <c r="F21" s="3" t="s">
        <v>646</v>
      </c>
      <c r="G21" s="3" t="s">
        <v>1161</v>
      </c>
    </row>
    <row r="22" spans="1:7" ht="15" customHeight="1" x14ac:dyDescent="0.2">
      <c r="A22" s="8" t="s">
        <v>1120</v>
      </c>
      <c r="B22" s="3" t="s">
        <v>19</v>
      </c>
      <c r="C22" s="3" t="s">
        <v>1163</v>
      </c>
      <c r="D22" s="3" t="s">
        <v>1125</v>
      </c>
      <c r="E22" s="3" t="s">
        <v>1164</v>
      </c>
      <c r="F22" s="3" t="s">
        <v>646</v>
      </c>
      <c r="G22" s="3" t="s">
        <v>1165</v>
      </c>
    </row>
    <row r="23" spans="1:7" ht="15" customHeight="1" x14ac:dyDescent="0.2">
      <c r="A23" s="8" t="s">
        <v>1120</v>
      </c>
      <c r="B23" s="3" t="s">
        <v>20</v>
      </c>
      <c r="C23" s="3" t="s">
        <v>1166</v>
      </c>
      <c r="D23" s="3" t="s">
        <v>1122</v>
      </c>
      <c r="E23" s="3"/>
      <c r="F23" s="3" t="s">
        <v>646</v>
      </c>
      <c r="G23" s="3" t="s">
        <v>1129</v>
      </c>
    </row>
    <row r="24" spans="1:7" ht="15" customHeight="1" x14ac:dyDescent="0.2">
      <c r="A24" s="8" t="s">
        <v>1120</v>
      </c>
      <c r="B24" s="3" t="s">
        <v>21</v>
      </c>
      <c r="C24" s="3" t="s">
        <v>1167</v>
      </c>
      <c r="D24" s="3" t="s">
        <v>584</v>
      </c>
      <c r="E24" s="3"/>
      <c r="F24" s="3" t="s">
        <v>646</v>
      </c>
      <c r="G24" s="3" t="s">
        <v>1129</v>
      </c>
    </row>
    <row r="25" spans="1:7" ht="23.25" customHeight="1" x14ac:dyDescent="0.2">
      <c r="A25" s="8" t="s">
        <v>1120</v>
      </c>
      <c r="B25" s="3" t="s">
        <v>22</v>
      </c>
      <c r="C25" s="3" t="s">
        <v>1168</v>
      </c>
      <c r="D25" s="3" t="s">
        <v>1169</v>
      </c>
      <c r="E25" s="3"/>
      <c r="F25" s="3" t="s">
        <v>653</v>
      </c>
      <c r="G25" s="3" t="s">
        <v>1170</v>
      </c>
    </row>
    <row r="26" spans="1:7" ht="23.25" customHeight="1" x14ac:dyDescent="0.2">
      <c r="A26" s="8" t="s">
        <v>1120</v>
      </c>
      <c r="B26" s="3" t="s">
        <v>1171</v>
      </c>
      <c r="C26" s="3" t="s">
        <v>1172</v>
      </c>
      <c r="D26" s="3" t="s">
        <v>1173</v>
      </c>
      <c r="E26" s="3"/>
      <c r="F26" s="3" t="s">
        <v>653</v>
      </c>
      <c r="G26" s="3" t="s">
        <v>1174</v>
      </c>
    </row>
    <row r="27" spans="1:7" ht="15" customHeight="1" x14ac:dyDescent="0.2">
      <c r="A27" s="8" t="s">
        <v>1120</v>
      </c>
      <c r="B27" s="3" t="s">
        <v>33</v>
      </c>
      <c r="C27" s="3" t="s">
        <v>1175</v>
      </c>
      <c r="D27" s="3" t="s">
        <v>1133</v>
      </c>
      <c r="E27" s="3"/>
      <c r="F27" s="3" t="s">
        <v>646</v>
      </c>
      <c r="G27" s="3" t="s">
        <v>1176</v>
      </c>
    </row>
    <row r="28" spans="1:7" ht="15" customHeight="1" x14ac:dyDescent="0.2">
      <c r="A28" s="8" t="s">
        <v>1120</v>
      </c>
      <c r="B28" s="3" t="s">
        <v>34</v>
      </c>
      <c r="C28" s="3" t="s">
        <v>1177</v>
      </c>
      <c r="D28" s="3" t="s">
        <v>1125</v>
      </c>
      <c r="E28" s="3" t="s">
        <v>1178</v>
      </c>
      <c r="F28" s="3" t="s">
        <v>646</v>
      </c>
      <c r="G28" s="3" t="s">
        <v>1179</v>
      </c>
    </row>
    <row r="29" spans="1:7" ht="15" customHeight="1" x14ac:dyDescent="0.2">
      <c r="A29" s="8" t="s">
        <v>1120</v>
      </c>
      <c r="B29" s="3" t="s">
        <v>35</v>
      </c>
      <c r="C29" s="3" t="s">
        <v>1180</v>
      </c>
      <c r="D29" s="3" t="s">
        <v>1125</v>
      </c>
      <c r="E29" s="3" t="s">
        <v>1155</v>
      </c>
      <c r="F29" s="3" t="s">
        <v>646</v>
      </c>
      <c r="G29" s="3" t="s">
        <v>1181</v>
      </c>
    </row>
    <row r="30" spans="1:7" ht="23.25" customHeight="1" x14ac:dyDescent="0.2">
      <c r="A30" s="8" t="s">
        <v>1120</v>
      </c>
      <c r="B30" s="3" t="s">
        <v>36</v>
      </c>
      <c r="C30" s="3" t="s">
        <v>36</v>
      </c>
      <c r="D30" s="3" t="s">
        <v>1125</v>
      </c>
      <c r="E30" s="3" t="s">
        <v>1182</v>
      </c>
      <c r="F30" s="3" t="s">
        <v>646</v>
      </c>
      <c r="G30" s="3" t="s">
        <v>1183</v>
      </c>
    </row>
    <row r="31" spans="1:7" ht="15" customHeight="1" x14ac:dyDescent="0.2">
      <c r="A31" s="8" t="s">
        <v>1120</v>
      </c>
      <c r="B31" s="3" t="s">
        <v>37</v>
      </c>
      <c r="C31" s="3" t="s">
        <v>1184</v>
      </c>
      <c r="D31" s="3" t="s">
        <v>1169</v>
      </c>
      <c r="E31" s="3"/>
      <c r="F31" s="3" t="s">
        <v>653</v>
      </c>
      <c r="G31" s="3" t="s">
        <v>1185</v>
      </c>
    </row>
    <row r="32" spans="1:7" ht="15" customHeight="1" x14ac:dyDescent="0.2">
      <c r="A32" s="8" t="s">
        <v>1120</v>
      </c>
      <c r="B32" s="3" t="s">
        <v>38</v>
      </c>
      <c r="C32" s="3" t="s">
        <v>1186</v>
      </c>
      <c r="D32" s="3" t="s">
        <v>584</v>
      </c>
      <c r="E32" s="3"/>
      <c r="F32" s="3" t="s">
        <v>653</v>
      </c>
      <c r="G32" s="3" t="s">
        <v>1129</v>
      </c>
    </row>
    <row r="33" spans="1:7" ht="34.5" customHeight="1" x14ac:dyDescent="0.2">
      <c r="A33" s="8" t="s">
        <v>1120</v>
      </c>
      <c r="B33" s="3" t="s">
        <v>39</v>
      </c>
      <c r="C33" s="3" t="s">
        <v>1187</v>
      </c>
      <c r="D33" s="3" t="s">
        <v>1125</v>
      </c>
      <c r="E33" s="3" t="s">
        <v>1188</v>
      </c>
      <c r="F33" s="3" t="s">
        <v>646</v>
      </c>
      <c r="G33" s="3" t="s">
        <v>1189</v>
      </c>
    </row>
    <row r="34" spans="1:7" ht="15" customHeight="1" x14ac:dyDescent="0.2">
      <c r="A34" s="8" t="s">
        <v>1120</v>
      </c>
      <c r="B34" s="3" t="s">
        <v>40</v>
      </c>
      <c r="C34" s="3" t="s">
        <v>1190</v>
      </c>
      <c r="D34" s="3" t="s">
        <v>1191</v>
      </c>
      <c r="E34" s="3" t="s">
        <v>1155</v>
      </c>
      <c r="F34" s="3" t="s">
        <v>660</v>
      </c>
      <c r="G34" s="3" t="s">
        <v>1192</v>
      </c>
    </row>
    <row r="35" spans="1:7" ht="15" customHeight="1" x14ac:dyDescent="0.2">
      <c r="A35" s="8" t="s">
        <v>1120</v>
      </c>
      <c r="B35" s="3" t="s">
        <v>41</v>
      </c>
      <c r="C35" s="3" t="s">
        <v>1193</v>
      </c>
      <c r="D35" s="3" t="s">
        <v>1122</v>
      </c>
      <c r="E35" s="3"/>
      <c r="F35" s="3" t="s">
        <v>660</v>
      </c>
      <c r="G35" s="3" t="s">
        <v>1194</v>
      </c>
    </row>
    <row r="36" spans="1:7" ht="34.5" customHeight="1" x14ac:dyDescent="0.2">
      <c r="A36" s="8" t="s">
        <v>1120</v>
      </c>
      <c r="B36" s="3" t="s">
        <v>42</v>
      </c>
      <c r="C36" s="3" t="s">
        <v>1195</v>
      </c>
      <c r="D36" s="3" t="s">
        <v>1125</v>
      </c>
      <c r="E36" s="3" t="s">
        <v>1196</v>
      </c>
      <c r="F36" s="3" t="s">
        <v>646</v>
      </c>
      <c r="G36" s="3" t="s">
        <v>1197</v>
      </c>
    </row>
    <row r="37" spans="1:7" ht="45.75" customHeight="1" x14ac:dyDescent="0.2">
      <c r="A37" s="8" t="s">
        <v>1120</v>
      </c>
      <c r="B37" s="3" t="s">
        <v>43</v>
      </c>
      <c r="C37" s="3" t="s">
        <v>1198</v>
      </c>
      <c r="D37" s="3" t="s">
        <v>1125</v>
      </c>
      <c r="E37" s="3" t="s">
        <v>1199</v>
      </c>
      <c r="F37" s="3" t="s">
        <v>646</v>
      </c>
      <c r="G37" s="3" t="s">
        <v>1200</v>
      </c>
    </row>
    <row r="38" spans="1:7" ht="15" customHeight="1" x14ac:dyDescent="0.2">
      <c r="A38" s="9" t="s">
        <v>1201</v>
      </c>
      <c r="B38" s="4" t="s">
        <v>743</v>
      </c>
      <c r="C38" s="4" t="s">
        <v>1121</v>
      </c>
      <c r="D38" s="4" t="s">
        <v>1122</v>
      </c>
      <c r="E38" s="4"/>
      <c r="F38" s="4" t="s">
        <v>660</v>
      </c>
      <c r="G38" s="4" t="s">
        <v>1202</v>
      </c>
    </row>
    <row r="39" spans="1:7" ht="15" customHeight="1" x14ac:dyDescent="0.2">
      <c r="A39" s="9" t="s">
        <v>1201</v>
      </c>
      <c r="B39" s="4" t="s">
        <v>2</v>
      </c>
      <c r="C39" s="4" t="s">
        <v>1203</v>
      </c>
      <c r="D39" s="4" t="s">
        <v>1204</v>
      </c>
      <c r="E39" s="4"/>
      <c r="F39" s="4" t="s">
        <v>646</v>
      </c>
      <c r="G39" s="4" t="s">
        <v>1205</v>
      </c>
    </row>
    <row r="40" spans="1:7" ht="15" customHeight="1" x14ac:dyDescent="0.2">
      <c r="A40" s="9" t="s">
        <v>1201</v>
      </c>
      <c r="B40" s="4" t="s">
        <v>744</v>
      </c>
      <c r="C40" s="4" t="s">
        <v>1206</v>
      </c>
      <c r="D40" s="4" t="s">
        <v>1122</v>
      </c>
      <c r="E40" s="4"/>
      <c r="F40" s="4" t="s">
        <v>646</v>
      </c>
      <c r="G40" s="4" t="s">
        <v>1124</v>
      </c>
    </row>
    <row r="41" spans="1:7" ht="15" customHeight="1" x14ac:dyDescent="0.2">
      <c r="A41" s="9" t="s">
        <v>1201</v>
      </c>
      <c r="B41" s="4" t="s">
        <v>745</v>
      </c>
      <c r="C41" s="4" t="s">
        <v>1207</v>
      </c>
      <c r="D41" s="4" t="s">
        <v>1122</v>
      </c>
      <c r="E41" s="4"/>
      <c r="F41" s="4" t="s">
        <v>646</v>
      </c>
      <c r="G41" s="4" t="s">
        <v>1124</v>
      </c>
    </row>
    <row r="42" spans="1:7" ht="15" customHeight="1" x14ac:dyDescent="0.2">
      <c r="A42" s="9" t="s">
        <v>1201</v>
      </c>
      <c r="B42" s="4" t="s">
        <v>746</v>
      </c>
      <c r="C42" s="4" t="s">
        <v>746</v>
      </c>
      <c r="D42" s="4" t="s">
        <v>1122</v>
      </c>
      <c r="E42" s="4"/>
      <c r="F42" s="4" t="s">
        <v>646</v>
      </c>
      <c r="G42" s="4" t="s">
        <v>1124</v>
      </c>
    </row>
    <row r="43" spans="1:7" ht="23.25" customHeight="1" x14ac:dyDescent="0.2">
      <c r="A43" s="9" t="s">
        <v>1201</v>
      </c>
      <c r="B43" s="4" t="s">
        <v>747</v>
      </c>
      <c r="C43" s="4" t="s">
        <v>1208</v>
      </c>
      <c r="D43" s="4" t="s">
        <v>1125</v>
      </c>
      <c r="E43" s="4" t="s">
        <v>1209</v>
      </c>
      <c r="F43" s="4" t="s">
        <v>646</v>
      </c>
      <c r="G43" s="4" t="s">
        <v>1129</v>
      </c>
    </row>
    <row r="44" spans="1:7" ht="15" customHeight="1" x14ac:dyDescent="0.2">
      <c r="A44" s="9" t="s">
        <v>1201</v>
      </c>
      <c r="B44" s="4" t="s">
        <v>748</v>
      </c>
      <c r="C44" s="4" t="s">
        <v>748</v>
      </c>
      <c r="D44" s="4" t="s">
        <v>748</v>
      </c>
      <c r="E44" s="4"/>
      <c r="F44" s="4" t="s">
        <v>646</v>
      </c>
      <c r="G44" s="4" t="s">
        <v>1124</v>
      </c>
    </row>
    <row r="45" spans="1:7" ht="23.25" customHeight="1" x14ac:dyDescent="0.2">
      <c r="A45" s="9" t="s">
        <v>1201</v>
      </c>
      <c r="B45" s="4" t="s">
        <v>749</v>
      </c>
      <c r="C45" s="4" t="s">
        <v>1210</v>
      </c>
      <c r="D45" s="4" t="s">
        <v>1125</v>
      </c>
      <c r="E45" s="4" t="s">
        <v>1211</v>
      </c>
      <c r="F45" s="4" t="s">
        <v>646</v>
      </c>
      <c r="G45" s="4" t="s">
        <v>1129</v>
      </c>
    </row>
    <row r="46" spans="1:7" ht="15" customHeight="1" x14ac:dyDescent="0.2">
      <c r="A46" s="9" t="s">
        <v>1201</v>
      </c>
      <c r="B46" s="4" t="s">
        <v>750</v>
      </c>
      <c r="C46" s="4" t="s">
        <v>1212</v>
      </c>
      <c r="D46" s="4" t="s">
        <v>1213</v>
      </c>
      <c r="E46" s="4"/>
      <c r="F46" s="4" t="s">
        <v>653</v>
      </c>
      <c r="G46" s="4" t="s">
        <v>1129</v>
      </c>
    </row>
    <row r="47" spans="1:7" ht="15" customHeight="1" x14ac:dyDescent="0.2">
      <c r="A47" s="9" t="s">
        <v>1201</v>
      </c>
      <c r="B47" s="4" t="s">
        <v>4</v>
      </c>
      <c r="C47" s="4" t="s">
        <v>4</v>
      </c>
      <c r="D47" s="4" t="s">
        <v>1122</v>
      </c>
      <c r="E47" s="4"/>
      <c r="F47" s="4" t="s">
        <v>653</v>
      </c>
      <c r="G47" s="4" t="s">
        <v>1129</v>
      </c>
    </row>
    <row r="48" spans="1:7" ht="15" customHeight="1" x14ac:dyDescent="0.2">
      <c r="A48" s="9" t="s">
        <v>1201</v>
      </c>
      <c r="B48" s="4" t="s">
        <v>20</v>
      </c>
      <c r="C48" s="4" t="s">
        <v>1166</v>
      </c>
      <c r="D48" s="4" t="s">
        <v>1122</v>
      </c>
      <c r="E48" s="4"/>
      <c r="F48" s="4" t="s">
        <v>653</v>
      </c>
      <c r="G48" s="4" t="s">
        <v>1214</v>
      </c>
    </row>
    <row r="49" spans="1:7" ht="15" customHeight="1" x14ac:dyDescent="0.2">
      <c r="A49" s="9" t="s">
        <v>1201</v>
      </c>
      <c r="B49" s="4" t="s">
        <v>21</v>
      </c>
      <c r="C49" s="4" t="s">
        <v>1167</v>
      </c>
      <c r="D49" s="4" t="s">
        <v>584</v>
      </c>
      <c r="E49" s="4"/>
      <c r="F49" s="4" t="s">
        <v>653</v>
      </c>
      <c r="G49" s="4" t="s">
        <v>1129</v>
      </c>
    </row>
    <row r="50" spans="1:7" ht="15" customHeight="1" x14ac:dyDescent="0.2">
      <c r="A50" s="9" t="s">
        <v>1201</v>
      </c>
      <c r="B50" s="4" t="s">
        <v>751</v>
      </c>
      <c r="C50" s="4" t="s">
        <v>1215</v>
      </c>
      <c r="D50" s="4" t="s">
        <v>1169</v>
      </c>
      <c r="E50" s="4"/>
      <c r="F50" s="4" t="s">
        <v>646</v>
      </c>
      <c r="G50" s="4" t="s">
        <v>1129</v>
      </c>
    </row>
    <row r="51" spans="1:7" ht="15" customHeight="1" x14ac:dyDescent="0.2">
      <c r="A51" s="9" t="s">
        <v>1201</v>
      </c>
      <c r="B51" s="4" t="s">
        <v>752</v>
      </c>
      <c r="C51" s="4" t="s">
        <v>1216</v>
      </c>
      <c r="D51" s="4" t="s">
        <v>1213</v>
      </c>
      <c r="E51" s="4"/>
      <c r="F51" s="4" t="s">
        <v>653</v>
      </c>
      <c r="G51" s="4" t="s">
        <v>1129</v>
      </c>
    </row>
    <row r="52" spans="1:7" ht="15" customHeight="1" x14ac:dyDescent="0.2">
      <c r="A52" s="9" t="s">
        <v>1201</v>
      </c>
      <c r="B52" s="4" t="s">
        <v>753</v>
      </c>
      <c r="C52" s="4" t="s">
        <v>1217</v>
      </c>
      <c r="D52" s="4" t="s">
        <v>1125</v>
      </c>
      <c r="E52" s="4" t="s">
        <v>1218</v>
      </c>
      <c r="F52" s="4" t="s">
        <v>646</v>
      </c>
      <c r="G52" s="4" t="s">
        <v>1129</v>
      </c>
    </row>
    <row r="53" spans="1:7" ht="23.25" customHeight="1" x14ac:dyDescent="0.2">
      <c r="A53" s="9" t="s">
        <v>1201</v>
      </c>
      <c r="B53" s="4" t="s">
        <v>754</v>
      </c>
      <c r="C53" s="4" t="s">
        <v>1219</v>
      </c>
      <c r="D53" s="4" t="s">
        <v>1125</v>
      </c>
      <c r="E53" s="4" t="s">
        <v>1220</v>
      </c>
      <c r="F53" s="4" t="s">
        <v>646</v>
      </c>
      <c r="G53" s="4" t="s">
        <v>1129</v>
      </c>
    </row>
    <row r="54" spans="1:7" ht="23.25" customHeight="1" x14ac:dyDescent="0.2">
      <c r="A54" s="9" t="s">
        <v>1201</v>
      </c>
      <c r="B54" s="4" t="s">
        <v>755</v>
      </c>
      <c r="C54" s="4" t="s">
        <v>1221</v>
      </c>
      <c r="D54" s="4" t="s">
        <v>1125</v>
      </c>
      <c r="E54" s="4" t="s">
        <v>1222</v>
      </c>
      <c r="F54" s="4" t="s">
        <v>646</v>
      </c>
      <c r="G54" s="4" t="s">
        <v>1129</v>
      </c>
    </row>
    <row r="55" spans="1:7" ht="15" customHeight="1" x14ac:dyDescent="0.2">
      <c r="A55" s="9" t="s">
        <v>1201</v>
      </c>
      <c r="B55" s="4" t="s">
        <v>756</v>
      </c>
      <c r="C55" s="4" t="s">
        <v>1223</v>
      </c>
      <c r="D55" s="4" t="s">
        <v>584</v>
      </c>
      <c r="E55" s="4"/>
      <c r="F55" s="4" t="s">
        <v>653</v>
      </c>
      <c r="G55" s="4" t="s">
        <v>1129</v>
      </c>
    </row>
    <row r="56" spans="1:7" ht="15" customHeight="1" x14ac:dyDescent="0.2">
      <c r="A56" s="9" t="s">
        <v>1201</v>
      </c>
      <c r="B56" s="4" t="s">
        <v>40</v>
      </c>
      <c r="C56" s="4" t="s">
        <v>1190</v>
      </c>
      <c r="D56" s="4" t="s">
        <v>1191</v>
      </c>
      <c r="E56" s="4" t="s">
        <v>1155</v>
      </c>
      <c r="F56" s="4" t="s">
        <v>660</v>
      </c>
      <c r="G56" s="4" t="s">
        <v>1192</v>
      </c>
    </row>
    <row r="57" spans="1:7" ht="15" customHeight="1" x14ac:dyDescent="0.2">
      <c r="A57" s="9" t="s">
        <v>1201</v>
      </c>
      <c r="B57" s="4" t="s">
        <v>41</v>
      </c>
      <c r="C57" s="4" t="s">
        <v>1193</v>
      </c>
      <c r="D57" s="4" t="s">
        <v>1122</v>
      </c>
      <c r="E57" s="4"/>
      <c r="F57" s="4" t="s">
        <v>660</v>
      </c>
      <c r="G57" s="4" t="s">
        <v>1194</v>
      </c>
    </row>
    <row r="58" spans="1:7" ht="15" customHeight="1" x14ac:dyDescent="0.2">
      <c r="A58" s="8" t="s">
        <v>1224</v>
      </c>
      <c r="B58" s="3" t="s">
        <v>1086</v>
      </c>
      <c r="C58" s="3" t="s">
        <v>1121</v>
      </c>
      <c r="D58" s="3" t="s">
        <v>1122</v>
      </c>
      <c r="E58" s="3"/>
      <c r="F58" s="3" t="s">
        <v>660</v>
      </c>
      <c r="G58" s="3"/>
    </row>
    <row r="59" spans="1:7" ht="15" customHeight="1" x14ac:dyDescent="0.2">
      <c r="A59" s="8" t="s">
        <v>1224</v>
      </c>
      <c r="B59" s="3" t="s">
        <v>2</v>
      </c>
      <c r="C59" s="3" t="s">
        <v>1203</v>
      </c>
      <c r="D59" s="3" t="s">
        <v>1204</v>
      </c>
      <c r="E59" s="3"/>
      <c r="F59" s="3" t="s">
        <v>646</v>
      </c>
      <c r="G59" s="3"/>
    </row>
    <row r="60" spans="1:7" ht="15" customHeight="1" x14ac:dyDescent="0.2">
      <c r="A60" s="8" t="s">
        <v>1224</v>
      </c>
      <c r="B60" s="3" t="s">
        <v>743</v>
      </c>
      <c r="C60" s="3" t="s">
        <v>1225</v>
      </c>
      <c r="D60" s="3" t="s">
        <v>1204</v>
      </c>
      <c r="E60" s="3"/>
      <c r="F60" s="3" t="s">
        <v>646</v>
      </c>
      <c r="G60" s="3"/>
    </row>
    <row r="61" spans="1:7" ht="23.25" customHeight="1" x14ac:dyDescent="0.2">
      <c r="A61" s="8" t="s">
        <v>1224</v>
      </c>
      <c r="B61" s="3" t="s">
        <v>1087</v>
      </c>
      <c r="C61" s="3" t="s">
        <v>1226</v>
      </c>
      <c r="D61" s="3" t="s">
        <v>1125</v>
      </c>
      <c r="E61" s="3" t="s">
        <v>1227</v>
      </c>
      <c r="F61" s="3" t="s">
        <v>646</v>
      </c>
      <c r="G61" s="3"/>
    </row>
    <row r="62" spans="1:7" ht="34.5" customHeight="1" x14ac:dyDescent="0.2">
      <c r="A62" s="8" t="s">
        <v>1224</v>
      </c>
      <c r="B62" s="3" t="s">
        <v>1088</v>
      </c>
      <c r="C62" s="3" t="s">
        <v>1228</v>
      </c>
      <c r="D62" s="3" t="s">
        <v>1125</v>
      </c>
      <c r="E62" s="3" t="s">
        <v>1229</v>
      </c>
      <c r="F62" s="3" t="s">
        <v>646</v>
      </c>
      <c r="G62" s="3"/>
    </row>
    <row r="63" spans="1:7" ht="15" customHeight="1" x14ac:dyDescent="0.2">
      <c r="A63" s="8" t="s">
        <v>1224</v>
      </c>
      <c r="B63" s="3" t="s">
        <v>1089</v>
      </c>
      <c r="C63" s="3" t="s">
        <v>1089</v>
      </c>
      <c r="D63" s="3" t="s">
        <v>1230</v>
      </c>
      <c r="E63" s="3"/>
      <c r="F63" s="3" t="s">
        <v>646</v>
      </c>
      <c r="G63" s="3"/>
    </row>
    <row r="64" spans="1:7" ht="15" customHeight="1" x14ac:dyDescent="0.2">
      <c r="A64" s="8" t="s">
        <v>1224</v>
      </c>
      <c r="B64" s="3" t="s">
        <v>1090</v>
      </c>
      <c r="C64" s="3" t="s">
        <v>1231</v>
      </c>
      <c r="D64" s="3" t="s">
        <v>1122</v>
      </c>
      <c r="E64" s="3"/>
      <c r="F64" s="3" t="s">
        <v>653</v>
      </c>
      <c r="G64" s="3"/>
    </row>
    <row r="65" spans="1:7" ht="15" customHeight="1" x14ac:dyDescent="0.2">
      <c r="A65" s="8" t="s">
        <v>1224</v>
      </c>
      <c r="B65" s="3" t="s">
        <v>1091</v>
      </c>
      <c r="C65" s="3" t="s">
        <v>585</v>
      </c>
      <c r="D65" s="3" t="s">
        <v>1169</v>
      </c>
      <c r="E65" s="3"/>
      <c r="F65" s="3" t="s">
        <v>653</v>
      </c>
      <c r="G65" s="3"/>
    </row>
    <row r="66" spans="1:7" ht="23.25" customHeight="1" x14ac:dyDescent="0.2">
      <c r="A66" s="8" t="s">
        <v>1224</v>
      </c>
      <c r="B66" s="3" t="s">
        <v>1092</v>
      </c>
      <c r="C66" s="3" t="s">
        <v>1092</v>
      </c>
      <c r="D66" s="3" t="s">
        <v>1125</v>
      </c>
      <c r="E66" s="3" t="s">
        <v>1232</v>
      </c>
      <c r="F66" s="3" t="s">
        <v>646</v>
      </c>
      <c r="G66" s="3"/>
    </row>
    <row r="67" spans="1:7" ht="15" customHeight="1" x14ac:dyDescent="0.2">
      <c r="A67" s="8" t="s">
        <v>1224</v>
      </c>
      <c r="B67" s="3" t="s">
        <v>1093</v>
      </c>
      <c r="C67" s="3" t="s">
        <v>1233</v>
      </c>
      <c r="D67" s="3" t="s">
        <v>1122</v>
      </c>
      <c r="E67" s="3"/>
      <c r="F67" s="3" t="s">
        <v>653</v>
      </c>
      <c r="G67" s="3"/>
    </row>
    <row r="68" spans="1:7" ht="15" customHeight="1" x14ac:dyDescent="0.2">
      <c r="A68" s="8" t="s">
        <v>1224</v>
      </c>
      <c r="B68" s="3" t="s">
        <v>1094</v>
      </c>
      <c r="C68" s="3" t="s">
        <v>1094</v>
      </c>
      <c r="D68" s="3" t="s">
        <v>1122</v>
      </c>
      <c r="E68" s="3"/>
      <c r="F68" s="3" t="s">
        <v>646</v>
      </c>
      <c r="G68" s="3"/>
    </row>
    <row r="69" spans="1:7" ht="15" customHeight="1" x14ac:dyDescent="0.2">
      <c r="A69" s="8" t="s">
        <v>1224</v>
      </c>
      <c r="B69" s="3" t="s">
        <v>40</v>
      </c>
      <c r="C69" s="3" t="s">
        <v>1190</v>
      </c>
      <c r="D69" s="3" t="s">
        <v>1191</v>
      </c>
      <c r="E69" s="3" t="s">
        <v>1155</v>
      </c>
      <c r="F69" s="3" t="s">
        <v>660</v>
      </c>
      <c r="G69" s="3"/>
    </row>
    <row r="70" spans="1:7" ht="15" customHeight="1" x14ac:dyDescent="0.2">
      <c r="A70" s="8" t="s">
        <v>1224</v>
      </c>
      <c r="B70" s="3" t="s">
        <v>41</v>
      </c>
      <c r="C70" s="3" t="s">
        <v>1193</v>
      </c>
      <c r="D70" s="3" t="s">
        <v>1122</v>
      </c>
      <c r="E70" s="3"/>
      <c r="F70" s="3" t="s">
        <v>660</v>
      </c>
      <c r="G70" s="3"/>
    </row>
    <row r="71" spans="1:7" ht="15" customHeight="1" x14ac:dyDescent="0.2">
      <c r="A71" s="9" t="s">
        <v>1234</v>
      </c>
      <c r="B71" s="4" t="s">
        <v>1096</v>
      </c>
      <c r="C71" s="4" t="s">
        <v>1121</v>
      </c>
      <c r="D71" s="4" t="s">
        <v>1122</v>
      </c>
      <c r="E71" s="4"/>
      <c r="F71" s="4" t="s">
        <v>660</v>
      </c>
      <c r="G71" s="4"/>
    </row>
    <row r="72" spans="1:7" ht="15" customHeight="1" x14ac:dyDescent="0.2">
      <c r="A72" s="9" t="s">
        <v>1234</v>
      </c>
      <c r="B72" s="4" t="s">
        <v>2</v>
      </c>
      <c r="C72" s="4" t="s">
        <v>1203</v>
      </c>
      <c r="D72" s="4" t="s">
        <v>1204</v>
      </c>
      <c r="E72" s="4"/>
      <c r="F72" s="4" t="s">
        <v>646</v>
      </c>
      <c r="G72" s="4"/>
    </row>
    <row r="73" spans="1:7" ht="15" customHeight="1" x14ac:dyDescent="0.2">
      <c r="A73" s="9" t="s">
        <v>1234</v>
      </c>
      <c r="B73" s="4" t="s">
        <v>1097</v>
      </c>
      <c r="C73" s="4" t="s">
        <v>1225</v>
      </c>
      <c r="D73" s="4" t="s">
        <v>1204</v>
      </c>
      <c r="E73" s="4"/>
      <c r="F73" s="4" t="s">
        <v>646</v>
      </c>
      <c r="G73" s="4"/>
    </row>
    <row r="74" spans="1:7" ht="15" customHeight="1" x14ac:dyDescent="0.2">
      <c r="A74" s="9" t="s">
        <v>1234</v>
      </c>
      <c r="B74" s="4" t="s">
        <v>1098</v>
      </c>
      <c r="C74" s="4" t="s">
        <v>1235</v>
      </c>
      <c r="D74" s="4" t="s">
        <v>1169</v>
      </c>
      <c r="E74" s="4" t="s">
        <v>1236</v>
      </c>
      <c r="F74" s="4" t="s">
        <v>653</v>
      </c>
      <c r="G74" s="4"/>
    </row>
    <row r="75" spans="1:7" ht="15" customHeight="1" x14ac:dyDescent="0.2">
      <c r="A75" s="9" t="s">
        <v>1234</v>
      </c>
      <c r="B75" s="4" t="s">
        <v>1099</v>
      </c>
      <c r="C75" s="4" t="s">
        <v>1237</v>
      </c>
      <c r="D75" s="4" t="s">
        <v>1230</v>
      </c>
      <c r="E75" s="4"/>
      <c r="F75" s="4" t="s">
        <v>646</v>
      </c>
      <c r="G75" s="4"/>
    </row>
    <row r="76" spans="1:7" ht="15" customHeight="1" x14ac:dyDescent="0.2">
      <c r="A76" s="9" t="s">
        <v>1234</v>
      </c>
      <c r="B76" s="4" t="s">
        <v>1100</v>
      </c>
      <c r="C76" s="4" t="s">
        <v>1238</v>
      </c>
      <c r="D76" s="4" t="s">
        <v>1133</v>
      </c>
      <c r="E76" s="4"/>
      <c r="F76" s="4" t="s">
        <v>646</v>
      </c>
      <c r="G76" s="4"/>
    </row>
    <row r="77" spans="1:7" ht="23.25" customHeight="1" x14ac:dyDescent="0.2">
      <c r="A77" s="9" t="s">
        <v>1234</v>
      </c>
      <c r="B77" s="4" t="s">
        <v>1101</v>
      </c>
      <c r="C77" s="4" t="s">
        <v>1239</v>
      </c>
      <c r="D77" s="4" t="s">
        <v>1125</v>
      </c>
      <c r="E77" s="4" t="s">
        <v>1240</v>
      </c>
      <c r="F77" s="4" t="s">
        <v>646</v>
      </c>
      <c r="G77" s="4"/>
    </row>
    <row r="78" spans="1:7" ht="23.25" customHeight="1" x14ac:dyDescent="0.2">
      <c r="A78" s="9" t="s">
        <v>1234</v>
      </c>
      <c r="B78" s="4" t="s">
        <v>39</v>
      </c>
      <c r="C78" s="4" t="s">
        <v>39</v>
      </c>
      <c r="D78" s="4" t="s">
        <v>1125</v>
      </c>
      <c r="E78" s="4" t="s">
        <v>1241</v>
      </c>
      <c r="F78" s="4" t="s">
        <v>646</v>
      </c>
      <c r="G78" s="4"/>
    </row>
    <row r="79" spans="1:7" ht="15" customHeight="1" x14ac:dyDescent="0.2">
      <c r="A79" s="9" t="s">
        <v>1234</v>
      </c>
      <c r="B79" s="4" t="s">
        <v>1102</v>
      </c>
      <c r="C79" s="4" t="s">
        <v>1242</v>
      </c>
      <c r="D79" s="4" t="s">
        <v>1169</v>
      </c>
      <c r="E79" s="4"/>
      <c r="F79" s="4" t="s">
        <v>653</v>
      </c>
      <c r="G79" s="4"/>
    </row>
    <row r="80" spans="1:7" ht="15" customHeight="1" x14ac:dyDescent="0.2">
      <c r="A80" s="9" t="s">
        <v>1234</v>
      </c>
      <c r="B80" s="4" t="s">
        <v>1103</v>
      </c>
      <c r="C80" s="4" t="s">
        <v>585</v>
      </c>
      <c r="D80" s="4" t="s">
        <v>1169</v>
      </c>
      <c r="E80" s="4"/>
      <c r="F80" s="4" t="s">
        <v>653</v>
      </c>
      <c r="G80" s="4"/>
    </row>
    <row r="81" spans="1:7" ht="15" customHeight="1" x14ac:dyDescent="0.2">
      <c r="A81" s="9" t="s">
        <v>1234</v>
      </c>
      <c r="B81" s="4" t="s">
        <v>1093</v>
      </c>
      <c r="C81" s="4" t="s">
        <v>1233</v>
      </c>
      <c r="D81" s="4" t="s">
        <v>1122</v>
      </c>
      <c r="E81" s="4"/>
      <c r="F81" s="4" t="s">
        <v>653</v>
      </c>
      <c r="G81" s="4"/>
    </row>
    <row r="82" spans="1:7" ht="15" customHeight="1" x14ac:dyDescent="0.2">
      <c r="A82" s="9" t="s">
        <v>1234</v>
      </c>
      <c r="B82" s="4" t="s">
        <v>1094</v>
      </c>
      <c r="C82" s="4" t="s">
        <v>1094</v>
      </c>
      <c r="D82" s="4" t="s">
        <v>1122</v>
      </c>
      <c r="E82" s="4"/>
      <c r="F82" s="4" t="s">
        <v>646</v>
      </c>
      <c r="G82" s="4"/>
    </row>
    <row r="83" spans="1:7" ht="15" customHeight="1" x14ac:dyDescent="0.2">
      <c r="A83" s="9" t="s">
        <v>1234</v>
      </c>
      <c r="B83" s="4" t="s">
        <v>40</v>
      </c>
      <c r="C83" s="4" t="s">
        <v>1190</v>
      </c>
      <c r="D83" s="4" t="s">
        <v>1191</v>
      </c>
      <c r="E83" s="4" t="s">
        <v>1155</v>
      </c>
      <c r="F83" s="4" t="s">
        <v>660</v>
      </c>
      <c r="G83" s="4"/>
    </row>
    <row r="84" spans="1:7" ht="15" customHeight="1" x14ac:dyDescent="0.2">
      <c r="A84" s="9" t="s">
        <v>1234</v>
      </c>
      <c r="B84" s="4" t="s">
        <v>41</v>
      </c>
      <c r="C84" s="4" t="s">
        <v>1193</v>
      </c>
      <c r="D84" s="4" t="s">
        <v>1122</v>
      </c>
      <c r="E84" s="4"/>
      <c r="F84" s="4" t="s">
        <v>660</v>
      </c>
      <c r="G84" s="4"/>
    </row>
    <row r="85" spans="1:7" ht="15" customHeight="1" x14ac:dyDescent="0.2">
      <c r="A85" s="8" t="s">
        <v>1243</v>
      </c>
      <c r="B85" s="3" t="s">
        <v>1106</v>
      </c>
      <c r="C85" s="3" t="s">
        <v>1121</v>
      </c>
      <c r="D85" s="3" t="s">
        <v>1122</v>
      </c>
      <c r="E85" s="3"/>
      <c r="F85" s="3" t="s">
        <v>660</v>
      </c>
      <c r="G85" s="3"/>
    </row>
    <row r="86" spans="1:7" ht="15" customHeight="1" x14ac:dyDescent="0.2">
      <c r="A86" s="8" t="s">
        <v>1243</v>
      </c>
      <c r="B86" s="3" t="s">
        <v>1107</v>
      </c>
      <c r="C86" s="3" t="s">
        <v>748</v>
      </c>
      <c r="D86" s="3" t="s">
        <v>1122</v>
      </c>
      <c r="E86" s="3"/>
      <c r="F86" s="3" t="s">
        <v>646</v>
      </c>
      <c r="G86" s="3" t="s">
        <v>1244</v>
      </c>
    </row>
    <row r="87" spans="1:7" ht="15" customHeight="1" x14ac:dyDescent="0.2">
      <c r="A87" s="8" t="s">
        <v>1243</v>
      </c>
      <c r="B87" s="3" t="s">
        <v>1108</v>
      </c>
      <c r="C87" s="3" t="s">
        <v>1245</v>
      </c>
      <c r="D87" s="3" t="s">
        <v>1125</v>
      </c>
      <c r="E87" s="3" t="s">
        <v>1246</v>
      </c>
      <c r="F87" s="3" t="s">
        <v>646</v>
      </c>
      <c r="G87" s="3"/>
    </row>
    <row r="88" spans="1:7" ht="23.25" customHeight="1" x14ac:dyDescent="0.2">
      <c r="A88" s="8" t="s">
        <v>1243</v>
      </c>
      <c r="B88" s="3" t="s">
        <v>1109</v>
      </c>
      <c r="C88" s="3" t="s">
        <v>1109</v>
      </c>
      <c r="D88" s="3" t="s">
        <v>1125</v>
      </c>
      <c r="E88" s="3" t="s">
        <v>1247</v>
      </c>
      <c r="F88" s="3" t="s">
        <v>646</v>
      </c>
      <c r="G88" s="3"/>
    </row>
    <row r="89" spans="1:7" ht="15" customHeight="1" x14ac:dyDescent="0.2">
      <c r="A89" s="8" t="s">
        <v>1243</v>
      </c>
      <c r="B89" s="3" t="s">
        <v>1110</v>
      </c>
      <c r="C89" s="3" t="s">
        <v>1248</v>
      </c>
      <c r="D89" s="3" t="s">
        <v>584</v>
      </c>
      <c r="E89" s="3"/>
      <c r="F89" s="3" t="s">
        <v>646</v>
      </c>
      <c r="G89" s="3"/>
    </row>
    <row r="90" spans="1:7" ht="15" customHeight="1" x14ac:dyDescent="0.2">
      <c r="A90" s="8" t="s">
        <v>1243</v>
      </c>
      <c r="B90" s="3" t="s">
        <v>1111</v>
      </c>
      <c r="C90" s="3" t="s">
        <v>1249</v>
      </c>
      <c r="D90" s="3" t="s">
        <v>1122</v>
      </c>
      <c r="E90" s="3"/>
      <c r="F90" s="3" t="s">
        <v>660</v>
      </c>
      <c r="G90" s="3"/>
    </row>
    <row r="91" spans="1:7" ht="15" customHeight="1" x14ac:dyDescent="0.2">
      <c r="A91" s="8" t="s">
        <v>1243</v>
      </c>
      <c r="B91" s="3" t="s">
        <v>1083</v>
      </c>
      <c r="C91" s="3" t="s">
        <v>1083</v>
      </c>
      <c r="D91" s="3" t="s">
        <v>1169</v>
      </c>
      <c r="E91" s="3"/>
      <c r="F91" s="3" t="s">
        <v>653</v>
      </c>
      <c r="G91" s="3"/>
    </row>
    <row r="92" spans="1:7" ht="15" customHeight="1" x14ac:dyDescent="0.2">
      <c r="A92" s="8" t="s">
        <v>1243</v>
      </c>
      <c r="B92" s="3" t="s">
        <v>40</v>
      </c>
      <c r="C92" s="3" t="s">
        <v>1190</v>
      </c>
      <c r="D92" s="3" t="s">
        <v>1191</v>
      </c>
      <c r="E92" s="3" t="s">
        <v>1155</v>
      </c>
      <c r="F92" s="3" t="s">
        <v>660</v>
      </c>
      <c r="G92" s="3"/>
    </row>
    <row r="93" spans="1:7" ht="15" customHeight="1" x14ac:dyDescent="0.2">
      <c r="A93" s="8" t="s">
        <v>1243</v>
      </c>
      <c r="B93" s="3" t="s">
        <v>41</v>
      </c>
      <c r="C93" s="3" t="s">
        <v>1193</v>
      </c>
      <c r="D93" s="3" t="s">
        <v>1122</v>
      </c>
      <c r="E93" s="3"/>
      <c r="F93" s="3" t="s">
        <v>660</v>
      </c>
      <c r="G93" s="3"/>
    </row>
    <row r="94" spans="1:7" ht="35" customHeight="1" x14ac:dyDescent="0.2">
      <c r="A94" s="8" t="s">
        <v>1120</v>
      </c>
      <c r="B94" s="3" t="s">
        <v>44</v>
      </c>
      <c r="C94" s="3" t="s">
        <v>1250</v>
      </c>
      <c r="D94" s="3" t="s">
        <v>1125</v>
      </c>
      <c r="E94" s="3" t="s">
        <v>1251</v>
      </c>
      <c r="F94" s="3" t="s">
        <v>646</v>
      </c>
      <c r="G94" s="3" t="s">
        <v>1252</v>
      </c>
    </row>
  </sheetData>
  <mergeCells count="2">
    <mergeCell ref="A2:G2"/>
    <mergeCell ref="A1:G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3"/>
  <sheetViews>
    <sheetView zoomScaleNormal="100" workbookViewId="0">
      <pane ySplit="4" topLeftCell="A5" activePane="bottomLeft" state="frozen"/>
      <selection pane="bottomLeft"/>
    </sheetView>
  </sheetViews>
  <sheetFormatPr baseColWidth="10" defaultColWidth="8.6640625" defaultRowHeight="15" x14ac:dyDescent="0.2"/>
  <cols>
    <col min="1" max="1" width="6" customWidth="1"/>
    <col min="2" max="3" width="60" customWidth="1"/>
  </cols>
  <sheetData>
    <row r="1" spans="1:3" ht="27.75" customHeight="1" x14ac:dyDescent="0.3">
      <c r="A1" s="20" t="s">
        <v>1253</v>
      </c>
      <c r="B1" s="21"/>
      <c r="C1" s="21"/>
    </row>
    <row r="2" spans="1:3" ht="15" customHeight="1" x14ac:dyDescent="0.2">
      <c r="A2" s="22" t="s">
        <v>1254</v>
      </c>
      <c r="B2" s="21"/>
      <c r="C2" s="21"/>
    </row>
    <row r="4" spans="1:3" ht="15" customHeight="1" x14ac:dyDescent="0.2">
      <c r="A4" s="2" t="s">
        <v>638</v>
      </c>
      <c r="B4" s="2" t="s">
        <v>1255</v>
      </c>
      <c r="C4" s="2" t="s">
        <v>1083</v>
      </c>
    </row>
    <row r="5" spans="1:3" ht="23.25" customHeight="1" x14ac:dyDescent="0.2">
      <c r="A5" s="4" t="s">
        <v>646</v>
      </c>
      <c r="B5" s="4" t="s">
        <v>1256</v>
      </c>
      <c r="C5" s="4" t="s">
        <v>1257</v>
      </c>
    </row>
    <row r="6" spans="1:3" ht="15" customHeight="1" x14ac:dyDescent="0.2">
      <c r="A6" s="3" t="s">
        <v>653</v>
      </c>
      <c r="B6" s="3" t="s">
        <v>1258</v>
      </c>
      <c r="C6" s="3" t="s">
        <v>1259</v>
      </c>
    </row>
    <row r="7" spans="1:3" ht="15" customHeight="1" x14ac:dyDescent="0.2">
      <c r="A7" s="4" t="s">
        <v>660</v>
      </c>
      <c r="B7" s="4" t="s">
        <v>1260</v>
      </c>
      <c r="C7" s="4" t="s">
        <v>1261</v>
      </c>
    </row>
    <row r="8" spans="1:3" ht="15" customHeight="1" x14ac:dyDescent="0.2">
      <c r="A8" s="3" t="s">
        <v>667</v>
      </c>
      <c r="B8" s="3" t="s">
        <v>1262</v>
      </c>
      <c r="C8" s="3" t="s">
        <v>1263</v>
      </c>
    </row>
    <row r="9" spans="1:3" ht="23.25" customHeight="1" x14ac:dyDescent="0.2">
      <c r="A9" s="4" t="s">
        <v>674</v>
      </c>
      <c r="B9" s="4" t="s">
        <v>1264</v>
      </c>
      <c r="C9" s="4"/>
    </row>
    <row r="10" spans="1:3" ht="15" customHeight="1" x14ac:dyDescent="0.2">
      <c r="A10" s="3" t="s">
        <v>681</v>
      </c>
      <c r="B10" s="3" t="s">
        <v>1265</v>
      </c>
      <c r="C10" s="3"/>
    </row>
    <row r="11" spans="1:3" ht="23.25" customHeight="1" x14ac:dyDescent="0.2">
      <c r="A11" s="4" t="s">
        <v>688</v>
      </c>
      <c r="B11" s="4" t="s">
        <v>1266</v>
      </c>
      <c r="C11" s="4"/>
    </row>
    <row r="12" spans="1:3" ht="23.25" customHeight="1" x14ac:dyDescent="0.2">
      <c r="A12" s="3" t="s">
        <v>695</v>
      </c>
      <c r="B12" s="3" t="s">
        <v>1267</v>
      </c>
      <c r="C12" s="3"/>
    </row>
    <row r="13" spans="1:3" ht="23.25" customHeight="1" x14ac:dyDescent="0.2">
      <c r="A13" s="4" t="s">
        <v>701</v>
      </c>
      <c r="B13" s="4" t="s">
        <v>1268</v>
      </c>
      <c r="C13" s="4"/>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8"/>
  <sheetViews>
    <sheetView zoomScaleNormal="100" workbookViewId="0">
      <pane ySplit="4" topLeftCell="A5" activePane="bottomLeft" state="frozen"/>
      <selection pane="bottomLeft"/>
    </sheetView>
  </sheetViews>
  <sheetFormatPr baseColWidth="10" defaultColWidth="8.6640625" defaultRowHeight="15" x14ac:dyDescent="0.2"/>
  <cols>
    <col min="1" max="1" width="22" customWidth="1"/>
    <col min="2" max="2" width="14" customWidth="1"/>
    <col min="3" max="3" width="32" customWidth="1"/>
    <col min="4" max="4" width="60" customWidth="1"/>
  </cols>
  <sheetData>
    <row r="1" spans="1:4" ht="27.75" customHeight="1" x14ac:dyDescent="0.3">
      <c r="A1" s="20" t="s">
        <v>1269</v>
      </c>
      <c r="B1" s="21"/>
      <c r="C1" s="21"/>
      <c r="D1" s="21"/>
    </row>
    <row r="2" spans="1:4" ht="15" customHeight="1" x14ac:dyDescent="0.2">
      <c r="A2" s="22" t="s">
        <v>1270</v>
      </c>
      <c r="B2" s="21"/>
      <c r="C2" s="21"/>
      <c r="D2" s="21"/>
    </row>
    <row r="4" spans="1:4" ht="27.75" customHeight="1" x14ac:dyDescent="0.2">
      <c r="A4" s="2" t="s">
        <v>36</v>
      </c>
      <c r="B4" s="2" t="s">
        <v>1271</v>
      </c>
      <c r="C4" s="2" t="s">
        <v>1272</v>
      </c>
      <c r="D4" s="2" t="s">
        <v>1273</v>
      </c>
    </row>
    <row r="5" spans="1:4" ht="23.25" customHeight="1" x14ac:dyDescent="0.2">
      <c r="A5" s="4" t="s">
        <v>1274</v>
      </c>
      <c r="B5" s="4" t="s">
        <v>1275</v>
      </c>
      <c r="C5" s="4" t="s">
        <v>1276</v>
      </c>
      <c r="D5" s="4" t="s">
        <v>1277</v>
      </c>
    </row>
    <row r="6" spans="1:4" ht="23.25" customHeight="1" x14ac:dyDescent="0.2">
      <c r="A6" s="3" t="s">
        <v>1278</v>
      </c>
      <c r="B6" s="3" t="s">
        <v>1279</v>
      </c>
      <c r="C6" s="3" t="s">
        <v>1280</v>
      </c>
      <c r="D6" s="3" t="s">
        <v>1281</v>
      </c>
    </row>
    <row r="7" spans="1:4" ht="23.25" customHeight="1" x14ac:dyDescent="0.2">
      <c r="A7" s="4" t="s">
        <v>1282</v>
      </c>
      <c r="B7" s="4" t="s">
        <v>1283</v>
      </c>
      <c r="C7" s="4" t="s">
        <v>1280</v>
      </c>
      <c r="D7" s="4" t="s">
        <v>1284</v>
      </c>
    </row>
    <row r="8" spans="1:4" ht="23.25" customHeight="1" x14ac:dyDescent="0.2">
      <c r="A8" s="3" t="s">
        <v>1285</v>
      </c>
      <c r="B8" s="3" t="s">
        <v>1286</v>
      </c>
      <c r="C8" s="3" t="s">
        <v>1287</v>
      </c>
      <c r="D8" s="3" t="s">
        <v>1288</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4"/>
  <sheetViews>
    <sheetView zoomScaleNormal="100" workbookViewId="0"/>
  </sheetViews>
  <sheetFormatPr baseColWidth="10" defaultColWidth="8.6640625" defaultRowHeight="15" x14ac:dyDescent="0.2"/>
  <cols>
    <col min="1" max="1" width="26" customWidth="1"/>
    <col min="2" max="17" width="22" customWidth="1"/>
  </cols>
  <sheetData>
    <row r="1" spans="1:16" ht="27.75" customHeight="1" x14ac:dyDescent="0.3">
      <c r="A1" s="20" t="s">
        <v>632</v>
      </c>
      <c r="B1" s="21"/>
      <c r="C1" s="21"/>
      <c r="D1" s="21"/>
    </row>
    <row r="2" spans="1:16" ht="15" customHeight="1" x14ac:dyDescent="0.2">
      <c r="A2" s="22" t="s">
        <v>1289</v>
      </c>
      <c r="B2" s="21"/>
      <c r="C2" s="21"/>
      <c r="D2" s="21"/>
    </row>
    <row r="4" spans="1:16" ht="15" customHeight="1" x14ac:dyDescent="0.2">
      <c r="A4" s="10" t="s">
        <v>1290</v>
      </c>
      <c r="B4" s="11" t="s">
        <v>48</v>
      </c>
      <c r="C4" s="11" t="s">
        <v>134</v>
      </c>
      <c r="D4" s="11" t="s">
        <v>1291</v>
      </c>
      <c r="E4" s="11" t="s">
        <v>180</v>
      </c>
    </row>
    <row r="5" spans="1:16" ht="15" customHeight="1" x14ac:dyDescent="0.2">
      <c r="A5" s="10" t="s">
        <v>1292</v>
      </c>
      <c r="B5" s="11" t="s">
        <v>135</v>
      </c>
      <c r="C5" s="11" t="s">
        <v>722</v>
      </c>
      <c r="D5" s="11" t="s">
        <v>254</v>
      </c>
      <c r="E5" s="11" t="s">
        <v>66</v>
      </c>
      <c r="F5" s="11" t="s">
        <v>95</v>
      </c>
      <c r="G5" s="11" t="s">
        <v>110</v>
      </c>
      <c r="H5" s="11" t="s">
        <v>76</v>
      </c>
      <c r="I5" s="11" t="s">
        <v>128</v>
      </c>
      <c r="J5" s="11" t="s">
        <v>538</v>
      </c>
      <c r="K5" s="11" t="s">
        <v>49</v>
      </c>
      <c r="L5" s="11" t="s">
        <v>181</v>
      </c>
      <c r="M5" s="11" t="s">
        <v>180</v>
      </c>
      <c r="N5" s="11" t="s">
        <v>315</v>
      </c>
      <c r="O5" s="11" t="s">
        <v>166</v>
      </c>
    </row>
    <row r="6" spans="1:16" ht="15" customHeight="1" x14ac:dyDescent="0.2">
      <c r="A6" s="10" t="s">
        <v>1293</v>
      </c>
      <c r="B6" s="11" t="s">
        <v>175</v>
      </c>
      <c r="C6" s="11" t="s">
        <v>136</v>
      </c>
      <c r="D6" s="11" t="s">
        <v>151</v>
      </c>
      <c r="E6" s="11" t="s">
        <v>50</v>
      </c>
      <c r="F6" s="11" t="s">
        <v>274</v>
      </c>
      <c r="G6" s="11" t="s">
        <v>67</v>
      </c>
      <c r="H6" s="11" t="s">
        <v>118</v>
      </c>
      <c r="I6" s="11" t="s">
        <v>234</v>
      </c>
      <c r="J6" s="11" t="s">
        <v>182</v>
      </c>
      <c r="K6" s="11" t="s">
        <v>728</v>
      </c>
      <c r="L6" s="11" t="s">
        <v>729</v>
      </c>
    </row>
    <row r="7" spans="1:16" ht="15" customHeight="1" x14ac:dyDescent="0.2">
      <c r="A7" s="10" t="s">
        <v>1294</v>
      </c>
      <c r="B7" s="11" t="s">
        <v>368</v>
      </c>
      <c r="C7" s="11" t="s">
        <v>374</v>
      </c>
      <c r="D7" s="11" t="s">
        <v>247</v>
      </c>
      <c r="E7" s="11" t="s">
        <v>87</v>
      </c>
      <c r="F7" s="11" t="s">
        <v>52</v>
      </c>
      <c r="G7" s="11" t="s">
        <v>143</v>
      </c>
      <c r="H7" s="11" t="s">
        <v>97</v>
      </c>
      <c r="I7" s="11" t="s">
        <v>322</v>
      </c>
      <c r="J7" s="11" t="s">
        <v>82</v>
      </c>
      <c r="K7" s="11" t="s">
        <v>69</v>
      </c>
      <c r="L7" s="11" t="s">
        <v>194</v>
      </c>
      <c r="M7" s="11" t="s">
        <v>183</v>
      </c>
      <c r="N7" s="11" t="s">
        <v>1295</v>
      </c>
      <c r="O7" s="11" t="s">
        <v>1296</v>
      </c>
      <c r="P7" s="11" t="s">
        <v>729</v>
      </c>
    </row>
    <row r="8" spans="1:16" ht="15" customHeight="1" x14ac:dyDescent="0.2">
      <c r="A8" s="10" t="s">
        <v>1297</v>
      </c>
      <c r="B8" s="11" t="s">
        <v>77</v>
      </c>
      <c r="C8" s="11" t="s">
        <v>138</v>
      </c>
      <c r="D8" s="11" t="s">
        <v>114</v>
      </c>
      <c r="E8" s="11" t="s">
        <v>54</v>
      </c>
      <c r="F8" s="11" t="s">
        <v>185</v>
      </c>
    </row>
    <row r="9" spans="1:16" ht="15" customHeight="1" x14ac:dyDescent="0.2">
      <c r="A9" s="10" t="s">
        <v>1298</v>
      </c>
      <c r="B9" s="11" t="s">
        <v>144</v>
      </c>
      <c r="C9" s="11" t="s">
        <v>444</v>
      </c>
      <c r="D9" s="11" t="s">
        <v>215</v>
      </c>
      <c r="E9" s="11" t="s">
        <v>392</v>
      </c>
      <c r="F9" s="11" t="s">
        <v>457</v>
      </c>
      <c r="G9" s="11" t="s">
        <v>727</v>
      </c>
      <c r="H9" s="11" t="s">
        <v>139</v>
      </c>
      <c r="I9" s="11" t="s">
        <v>130</v>
      </c>
      <c r="J9" s="11" t="s">
        <v>159</v>
      </c>
      <c r="K9" s="11" t="s">
        <v>172</v>
      </c>
      <c r="L9" s="11" t="s">
        <v>89</v>
      </c>
      <c r="M9" s="11" t="s">
        <v>1299</v>
      </c>
    </row>
    <row r="10" spans="1:16" ht="15" customHeight="1" x14ac:dyDescent="0.2">
      <c r="A10" s="10" t="s">
        <v>1300</v>
      </c>
      <c r="B10" s="11" t="s">
        <v>57</v>
      </c>
      <c r="C10" s="11" t="s">
        <v>70</v>
      </c>
      <c r="D10" s="11" t="s">
        <v>723</v>
      </c>
      <c r="E10" s="11" t="s">
        <v>724</v>
      </c>
    </row>
    <row r="11" spans="1:16" ht="15" customHeight="1" x14ac:dyDescent="0.2">
      <c r="A11" s="10" t="s">
        <v>1301</v>
      </c>
      <c r="B11" s="11" t="s">
        <v>1302</v>
      </c>
      <c r="C11" s="11" t="s">
        <v>1303</v>
      </c>
      <c r="D11" s="11" t="s">
        <v>1304</v>
      </c>
      <c r="E11" s="11" t="s">
        <v>1305</v>
      </c>
      <c r="F11" s="11" t="s">
        <v>1306</v>
      </c>
      <c r="G11" s="11" t="s">
        <v>1307</v>
      </c>
      <c r="H11" s="11" t="s">
        <v>780</v>
      </c>
    </row>
    <row r="12" spans="1:16" ht="15" customHeight="1" x14ac:dyDescent="0.2">
      <c r="A12" s="10" t="s">
        <v>1308</v>
      </c>
      <c r="B12" s="11" t="s">
        <v>1309</v>
      </c>
      <c r="C12" s="11" t="s">
        <v>1310</v>
      </c>
      <c r="D12" s="11" t="s">
        <v>1311</v>
      </c>
      <c r="E12" s="11" t="s">
        <v>1285</v>
      </c>
    </row>
    <row r="13" spans="1:16" ht="15" customHeight="1" x14ac:dyDescent="0.2">
      <c r="A13" s="10" t="s">
        <v>1312</v>
      </c>
      <c r="B13" s="11" t="s">
        <v>61</v>
      </c>
      <c r="C13" s="11" t="s">
        <v>1313</v>
      </c>
      <c r="D13" s="11" t="s">
        <v>1314</v>
      </c>
      <c r="E13" s="11" t="s">
        <v>1315</v>
      </c>
      <c r="F13" s="11" t="s">
        <v>1316</v>
      </c>
      <c r="G13" s="11" t="s">
        <v>1317</v>
      </c>
      <c r="H13" s="11" t="s">
        <v>1318</v>
      </c>
      <c r="I13" s="11" t="s">
        <v>1285</v>
      </c>
    </row>
    <row r="14" spans="1:16" ht="15" customHeight="1" x14ac:dyDescent="0.2">
      <c r="A14" s="10" t="s">
        <v>1319</v>
      </c>
      <c r="B14" s="11" t="s">
        <v>789</v>
      </c>
      <c r="C14" s="11" t="s">
        <v>1320</v>
      </c>
      <c r="D14" s="11" t="s">
        <v>1321</v>
      </c>
      <c r="E14" s="11" t="s">
        <v>912</v>
      </c>
      <c r="F14" s="11" t="s">
        <v>1322</v>
      </c>
      <c r="G14" s="11" t="s">
        <v>772</v>
      </c>
      <c r="H14" s="11" t="s">
        <v>766</v>
      </c>
      <c r="I14" s="11" t="s">
        <v>833</v>
      </c>
      <c r="J14" s="11" t="s">
        <v>780</v>
      </c>
    </row>
    <row r="15" spans="1:16" ht="15" customHeight="1" x14ac:dyDescent="0.2">
      <c r="A15" s="10" t="s">
        <v>1323</v>
      </c>
      <c r="B15" s="11" t="s">
        <v>1324</v>
      </c>
      <c r="C15" s="11" t="s">
        <v>1325</v>
      </c>
      <c r="D15" s="11" t="s">
        <v>1326</v>
      </c>
      <c r="E15" s="11" t="s">
        <v>1327</v>
      </c>
      <c r="F15" s="11" t="s">
        <v>1328</v>
      </c>
      <c r="G15" s="11" t="s">
        <v>1329</v>
      </c>
    </row>
    <row r="16" spans="1:16" ht="15" customHeight="1" x14ac:dyDescent="0.2">
      <c r="A16" s="10" t="s">
        <v>1330</v>
      </c>
      <c r="B16" s="11" t="s">
        <v>1331</v>
      </c>
      <c r="C16" s="11" t="s">
        <v>1332</v>
      </c>
      <c r="D16" s="11" t="s">
        <v>1333</v>
      </c>
      <c r="E16" s="11" t="s">
        <v>1334</v>
      </c>
      <c r="F16" s="11" t="s">
        <v>1335</v>
      </c>
      <c r="G16" s="11" t="s">
        <v>1326</v>
      </c>
      <c r="H16" s="11" t="s">
        <v>1336</v>
      </c>
      <c r="I16" s="11" t="s">
        <v>1337</v>
      </c>
      <c r="J16" s="11" t="s">
        <v>1338</v>
      </c>
    </row>
    <row r="17" spans="1:9" ht="15" customHeight="1" x14ac:dyDescent="0.2">
      <c r="A17" s="10" t="s">
        <v>1339</v>
      </c>
      <c r="B17" s="11" t="s">
        <v>184</v>
      </c>
      <c r="C17" s="11" t="s">
        <v>1340</v>
      </c>
      <c r="D17" s="11" t="s">
        <v>1341</v>
      </c>
      <c r="E17" s="11" t="s">
        <v>1342</v>
      </c>
      <c r="F17" s="11" t="s">
        <v>1343</v>
      </c>
      <c r="G17" s="11" t="s">
        <v>1344</v>
      </c>
      <c r="H17" s="11" t="s">
        <v>1345</v>
      </c>
      <c r="I17" s="11" t="s">
        <v>1346</v>
      </c>
    </row>
    <row r="18" spans="1:9" ht="15" customHeight="1" x14ac:dyDescent="0.2">
      <c r="A18" s="10" t="s">
        <v>1347</v>
      </c>
      <c r="B18" s="11" t="s">
        <v>1348</v>
      </c>
      <c r="C18" s="11" t="s">
        <v>1349</v>
      </c>
      <c r="D18" s="11" t="s">
        <v>1350</v>
      </c>
      <c r="E18" s="11" t="s">
        <v>1351</v>
      </c>
      <c r="F18" s="11" t="s">
        <v>1352</v>
      </c>
      <c r="G18" s="11" t="s">
        <v>1353</v>
      </c>
      <c r="H18" s="11" t="s">
        <v>1354</v>
      </c>
    </row>
    <row r="19" spans="1:9" ht="15" customHeight="1" x14ac:dyDescent="0.2">
      <c r="A19" s="10" t="s">
        <v>1355</v>
      </c>
      <c r="B19" s="11" t="s">
        <v>1356</v>
      </c>
      <c r="C19" s="11" t="s">
        <v>1357</v>
      </c>
      <c r="D19" s="11" t="s">
        <v>1358</v>
      </c>
      <c r="E19" s="11" t="s">
        <v>1359</v>
      </c>
      <c r="F19" s="11" t="s">
        <v>1352</v>
      </c>
    </row>
    <row r="20" spans="1:9" ht="15" customHeight="1" x14ac:dyDescent="0.2">
      <c r="A20" s="10" t="s">
        <v>1360</v>
      </c>
      <c r="B20" s="11" t="s">
        <v>1361</v>
      </c>
      <c r="C20" s="11" t="s">
        <v>1362</v>
      </c>
      <c r="D20" s="11" t="s">
        <v>1363</v>
      </c>
      <c r="E20" s="11" t="s">
        <v>1364</v>
      </c>
      <c r="F20" s="11" t="s">
        <v>1365</v>
      </c>
      <c r="G20" s="11" t="s">
        <v>1366</v>
      </c>
      <c r="H20" s="11" t="s">
        <v>780</v>
      </c>
    </row>
    <row r="21" spans="1:9" ht="15" customHeight="1" x14ac:dyDescent="0.2">
      <c r="A21" s="10" t="s">
        <v>1367</v>
      </c>
      <c r="B21" s="11" t="s">
        <v>1368</v>
      </c>
      <c r="C21" s="11" t="s">
        <v>1350</v>
      </c>
      <c r="D21" s="11" t="s">
        <v>1369</v>
      </c>
      <c r="E21" s="11" t="s">
        <v>1370</v>
      </c>
      <c r="F21" s="11" t="s">
        <v>1371</v>
      </c>
    </row>
    <row r="22" spans="1:9" ht="15" customHeight="1" x14ac:dyDescent="0.2">
      <c r="A22" s="10" t="s">
        <v>1372</v>
      </c>
      <c r="B22" s="11" t="s">
        <v>1201</v>
      </c>
      <c r="C22" s="11" t="s">
        <v>1373</v>
      </c>
    </row>
    <row r="23" spans="1:9" ht="15" customHeight="1" x14ac:dyDescent="0.2">
      <c r="A23" s="10" t="s">
        <v>1374</v>
      </c>
      <c r="B23" s="11" t="s">
        <v>1344</v>
      </c>
      <c r="C23" s="11" t="s">
        <v>1343</v>
      </c>
      <c r="D23" s="11" t="s">
        <v>1345</v>
      </c>
      <c r="E23" s="11" t="s">
        <v>1375</v>
      </c>
      <c r="F23" s="11" t="s">
        <v>1337</v>
      </c>
    </row>
    <row r="24" spans="1:9" ht="15" customHeight="1" x14ac:dyDescent="0.2">
      <c r="A24" s="10" t="s">
        <v>1376</v>
      </c>
      <c r="B24" s="11" t="s">
        <v>1377</v>
      </c>
      <c r="C24" s="11" t="s">
        <v>1378</v>
      </c>
      <c r="D24" s="11" t="s">
        <v>1379</v>
      </c>
      <c r="E24" s="11" t="s">
        <v>1380</v>
      </c>
      <c r="F24" s="11" t="s">
        <v>1381</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24"/>
  <sheetViews>
    <sheetView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12" customWidth="1"/>
    <col min="2" max="2" width="28" customWidth="1"/>
    <col min="3" max="3" width="8" customWidth="1"/>
    <col min="4" max="4" width="10" customWidth="1"/>
    <col min="5" max="5" width="14" customWidth="1"/>
    <col min="6" max="6" width="22" customWidth="1"/>
    <col min="7" max="7" width="26" customWidth="1"/>
    <col min="8" max="8" width="14" customWidth="1"/>
    <col min="9" max="9" width="42" customWidth="1"/>
    <col min="10" max="10" width="14" customWidth="1"/>
    <col min="11" max="12" width="60" customWidth="1"/>
    <col min="13" max="13" width="42" customWidth="1"/>
    <col min="14" max="14" width="34" customWidth="1"/>
    <col min="15" max="15" width="16" customWidth="1"/>
    <col min="16" max="17" width="14" customWidth="1"/>
    <col min="18" max="18" width="16" customWidth="1"/>
  </cols>
  <sheetData>
    <row r="1" spans="1:18" ht="28" customHeight="1" x14ac:dyDescent="0.3">
      <c r="A1" s="25" t="s">
        <v>1382</v>
      </c>
      <c r="B1" s="21"/>
      <c r="C1" s="21"/>
      <c r="D1" s="21"/>
      <c r="E1" s="21"/>
      <c r="F1" s="21"/>
      <c r="G1" s="21"/>
      <c r="H1" s="21"/>
    </row>
    <row r="2" spans="1:18" x14ac:dyDescent="0.2">
      <c r="A2" s="24" t="s">
        <v>1383</v>
      </c>
      <c r="B2" s="21"/>
      <c r="C2" s="21"/>
      <c r="D2" s="21"/>
      <c r="E2" s="21"/>
      <c r="F2" s="21"/>
      <c r="G2" s="21"/>
      <c r="H2" s="21"/>
    </row>
    <row r="4" spans="1:18" ht="32" x14ac:dyDescent="0.2">
      <c r="A4" s="14" t="s">
        <v>1384</v>
      </c>
      <c r="B4" s="14" t="s">
        <v>1385</v>
      </c>
      <c r="C4" s="14" t="s">
        <v>1386</v>
      </c>
      <c r="D4" s="14" t="s">
        <v>1387</v>
      </c>
      <c r="E4" s="14" t="s">
        <v>1388</v>
      </c>
      <c r="F4" s="14" t="s">
        <v>1389</v>
      </c>
      <c r="G4" s="14" t="s">
        <v>1390</v>
      </c>
      <c r="H4" s="14" t="s">
        <v>1391</v>
      </c>
      <c r="I4" s="14" t="s">
        <v>1392</v>
      </c>
      <c r="J4" s="14" t="s">
        <v>1393</v>
      </c>
      <c r="K4" s="14" t="s">
        <v>1394</v>
      </c>
      <c r="L4" s="14" t="s">
        <v>1395</v>
      </c>
      <c r="M4" s="14" t="s">
        <v>762</v>
      </c>
      <c r="N4" s="14" t="s">
        <v>1083</v>
      </c>
      <c r="O4" s="14" t="s">
        <v>1396</v>
      </c>
      <c r="P4" s="14" t="s">
        <v>1397</v>
      </c>
      <c r="Q4" s="14" t="s">
        <v>1398</v>
      </c>
      <c r="R4" s="14" t="s">
        <v>1399</v>
      </c>
    </row>
    <row r="5" spans="1:18" ht="45" x14ac:dyDescent="0.2">
      <c r="A5" s="15" t="s">
        <v>1400</v>
      </c>
      <c r="B5" s="16" t="s">
        <v>1401</v>
      </c>
      <c r="C5" s="16">
        <v>2022</v>
      </c>
      <c r="D5" s="16" t="s">
        <v>1402</v>
      </c>
      <c r="E5" s="16">
        <v>15</v>
      </c>
      <c r="F5" s="16" t="s">
        <v>49</v>
      </c>
      <c r="G5" s="16" t="s">
        <v>472</v>
      </c>
      <c r="H5" s="16" t="s">
        <v>1403</v>
      </c>
      <c r="I5" s="16" t="s">
        <v>1404</v>
      </c>
      <c r="J5" s="17">
        <v>46108</v>
      </c>
      <c r="K5" s="16" t="s">
        <v>1405</v>
      </c>
      <c r="L5" s="16" t="s">
        <v>1406</v>
      </c>
      <c r="M5" s="16" t="s">
        <v>1407</v>
      </c>
      <c r="N5" s="16"/>
      <c r="O5" s="16" t="s">
        <v>1408</v>
      </c>
      <c r="P5" s="16" t="s">
        <v>1409</v>
      </c>
      <c r="Q5" s="16"/>
      <c r="R5" s="16"/>
    </row>
    <row r="6" spans="1:18" ht="45" x14ac:dyDescent="0.2">
      <c r="A6" s="18" t="s">
        <v>1410</v>
      </c>
      <c r="B6" s="13" t="s">
        <v>1411</v>
      </c>
      <c r="C6" s="13">
        <v>2019</v>
      </c>
      <c r="D6" s="13" t="s">
        <v>1402</v>
      </c>
      <c r="E6" s="13">
        <v>12</v>
      </c>
      <c r="F6" s="13" t="s">
        <v>135</v>
      </c>
      <c r="G6" s="13" t="s">
        <v>84</v>
      </c>
      <c r="H6" s="13" t="s">
        <v>1403</v>
      </c>
      <c r="I6" s="13" t="s">
        <v>1412</v>
      </c>
      <c r="J6" s="19">
        <v>46108</v>
      </c>
      <c r="K6" s="13" t="s">
        <v>1413</v>
      </c>
      <c r="L6" s="13" t="s">
        <v>1414</v>
      </c>
      <c r="M6" s="13" t="s">
        <v>1407</v>
      </c>
      <c r="N6" s="13"/>
      <c r="O6" s="13" t="s">
        <v>1408</v>
      </c>
      <c r="P6" s="13" t="s">
        <v>1409</v>
      </c>
      <c r="Q6" s="13"/>
      <c r="R6" s="13"/>
    </row>
    <row r="7" spans="1:18" ht="45" x14ac:dyDescent="0.2">
      <c r="A7" s="15" t="s">
        <v>1415</v>
      </c>
      <c r="B7" s="16" t="s">
        <v>1416</v>
      </c>
      <c r="C7" s="16">
        <v>2023</v>
      </c>
      <c r="D7" s="16" t="s">
        <v>1402</v>
      </c>
      <c r="E7" s="16">
        <v>15</v>
      </c>
      <c r="F7" s="16" t="s">
        <v>49</v>
      </c>
      <c r="G7" s="16" t="s">
        <v>63</v>
      </c>
      <c r="H7" s="16" t="s">
        <v>1403</v>
      </c>
      <c r="I7" s="16" t="s">
        <v>1417</v>
      </c>
      <c r="J7" s="17">
        <v>46108</v>
      </c>
      <c r="K7" s="16" t="s">
        <v>1418</v>
      </c>
      <c r="L7" s="16" t="s">
        <v>1419</v>
      </c>
      <c r="M7" s="16" t="s">
        <v>1407</v>
      </c>
      <c r="N7" s="16"/>
      <c r="O7" s="16" t="s">
        <v>1408</v>
      </c>
      <c r="P7" s="16" t="s">
        <v>1409</v>
      </c>
      <c r="Q7" s="16"/>
      <c r="R7" s="16"/>
    </row>
    <row r="8" spans="1:18" ht="45" x14ac:dyDescent="0.2">
      <c r="A8" s="18" t="s">
        <v>1420</v>
      </c>
      <c r="B8" s="13" t="s">
        <v>1421</v>
      </c>
      <c r="C8" s="13">
        <v>2021</v>
      </c>
      <c r="D8" s="13" t="s">
        <v>1422</v>
      </c>
      <c r="E8" s="13">
        <v>20</v>
      </c>
      <c r="F8" s="13" t="s">
        <v>128</v>
      </c>
      <c r="G8" s="13" t="s">
        <v>472</v>
      </c>
      <c r="H8" s="13" t="s">
        <v>1403</v>
      </c>
      <c r="I8" s="13" t="s">
        <v>1404</v>
      </c>
      <c r="J8" s="19">
        <v>46108</v>
      </c>
      <c r="K8" s="13" t="s">
        <v>1423</v>
      </c>
      <c r="L8" s="13" t="s">
        <v>1424</v>
      </c>
      <c r="M8" s="13" t="s">
        <v>1407</v>
      </c>
      <c r="N8" s="13"/>
      <c r="O8" s="13" t="s">
        <v>1408</v>
      </c>
      <c r="P8" s="13" t="s">
        <v>1409</v>
      </c>
      <c r="Q8" s="13"/>
      <c r="R8" s="13"/>
    </row>
    <row r="9" spans="1:18" ht="45" x14ac:dyDescent="0.2">
      <c r="A9" s="15" t="s">
        <v>1425</v>
      </c>
      <c r="B9" s="16" t="s">
        <v>1426</v>
      </c>
      <c r="C9" s="16">
        <v>2020</v>
      </c>
      <c r="D9" s="16" t="s">
        <v>1427</v>
      </c>
      <c r="E9" s="16">
        <v>40</v>
      </c>
      <c r="F9" s="16" t="s">
        <v>76</v>
      </c>
      <c r="G9" s="16" t="s">
        <v>63</v>
      </c>
      <c r="H9" s="16" t="s">
        <v>1403</v>
      </c>
      <c r="I9" s="16" t="s">
        <v>1428</v>
      </c>
      <c r="J9" s="17">
        <v>46177</v>
      </c>
      <c r="K9" s="16" t="s">
        <v>1429</v>
      </c>
      <c r="L9" s="16" t="s">
        <v>1430</v>
      </c>
      <c r="M9" s="16" t="s">
        <v>1431</v>
      </c>
      <c r="N9" s="16" t="s">
        <v>1432</v>
      </c>
      <c r="O9" s="16" t="s">
        <v>1408</v>
      </c>
      <c r="P9" s="16" t="s">
        <v>1409</v>
      </c>
      <c r="Q9" s="16"/>
      <c r="R9" s="16"/>
    </row>
    <row r="10" spans="1:18" ht="30" x14ac:dyDescent="0.2">
      <c r="A10" s="18" t="s">
        <v>1433</v>
      </c>
      <c r="B10" s="13" t="s">
        <v>1434</v>
      </c>
      <c r="C10" s="13">
        <v>2023</v>
      </c>
      <c r="D10" s="13" t="s">
        <v>1402</v>
      </c>
      <c r="E10" s="13">
        <v>30</v>
      </c>
      <c r="F10" s="13" t="s">
        <v>110</v>
      </c>
      <c r="G10" s="13" t="s">
        <v>63</v>
      </c>
      <c r="H10" s="13" t="s">
        <v>1435</v>
      </c>
      <c r="I10" s="13" t="s">
        <v>1436</v>
      </c>
      <c r="J10" s="19">
        <v>46037</v>
      </c>
      <c r="K10" s="13" t="s">
        <v>1437</v>
      </c>
      <c r="L10" s="13" t="s">
        <v>1438</v>
      </c>
      <c r="M10" s="13" t="s">
        <v>1439</v>
      </c>
      <c r="N10" s="13" t="s">
        <v>1440</v>
      </c>
      <c r="O10" s="13" t="s">
        <v>1408</v>
      </c>
      <c r="P10" s="13" t="s">
        <v>1409</v>
      </c>
      <c r="Q10" s="13"/>
      <c r="R10" s="13"/>
    </row>
    <row r="11" spans="1:18" ht="45" x14ac:dyDescent="0.2">
      <c r="A11" s="15" t="s">
        <v>1441</v>
      </c>
      <c r="B11" s="16" t="s">
        <v>1442</v>
      </c>
      <c r="C11" s="16">
        <v>2024</v>
      </c>
      <c r="D11" s="16" t="s">
        <v>1402</v>
      </c>
      <c r="E11" s="16">
        <v>50</v>
      </c>
      <c r="F11" s="16" t="s">
        <v>135</v>
      </c>
      <c r="G11" s="16" t="s">
        <v>63</v>
      </c>
      <c r="H11" s="16" t="s">
        <v>1435</v>
      </c>
      <c r="I11" s="16" t="s">
        <v>1443</v>
      </c>
      <c r="J11" s="17">
        <v>46066</v>
      </c>
      <c r="K11" s="16" t="s">
        <v>1444</v>
      </c>
      <c r="L11" s="16" t="s">
        <v>1445</v>
      </c>
      <c r="M11" s="16" t="s">
        <v>1446</v>
      </c>
      <c r="N11" s="16" t="s">
        <v>1447</v>
      </c>
      <c r="O11" s="16" t="s">
        <v>1448</v>
      </c>
      <c r="P11" s="16" t="s">
        <v>1409</v>
      </c>
      <c r="Q11" s="16"/>
      <c r="R11" s="16"/>
    </row>
    <row r="12" spans="1:18" ht="30" x14ac:dyDescent="0.2">
      <c r="A12" s="18" t="s">
        <v>1449</v>
      </c>
      <c r="B12" s="13" t="s">
        <v>1450</v>
      </c>
      <c r="C12" s="13">
        <v>2024</v>
      </c>
      <c r="D12" s="13" t="s">
        <v>1422</v>
      </c>
      <c r="E12" s="13">
        <v>25</v>
      </c>
      <c r="F12" s="13" t="s">
        <v>49</v>
      </c>
      <c r="G12" s="13" t="s">
        <v>84</v>
      </c>
      <c r="H12" s="13" t="s">
        <v>1435</v>
      </c>
      <c r="I12" s="13" t="s">
        <v>1451</v>
      </c>
      <c r="J12" s="19">
        <v>46087</v>
      </c>
      <c r="K12" s="13" t="s">
        <v>1452</v>
      </c>
      <c r="L12" s="13" t="s">
        <v>1453</v>
      </c>
      <c r="M12" s="13" t="s">
        <v>1454</v>
      </c>
      <c r="N12" s="13" t="s">
        <v>1455</v>
      </c>
      <c r="O12" s="13" t="s">
        <v>1408</v>
      </c>
      <c r="P12" s="13" t="s">
        <v>1409</v>
      </c>
      <c r="Q12" s="13"/>
      <c r="R12" s="13"/>
    </row>
    <row r="13" spans="1:18" ht="30" x14ac:dyDescent="0.2">
      <c r="A13" s="15" t="s">
        <v>1456</v>
      </c>
      <c r="B13" s="16" t="s">
        <v>1457</v>
      </c>
      <c r="C13" s="16">
        <v>2023</v>
      </c>
      <c r="D13" s="16" t="s">
        <v>1458</v>
      </c>
      <c r="E13" s="16">
        <v>15</v>
      </c>
      <c r="F13" s="16" t="s">
        <v>49</v>
      </c>
      <c r="G13" s="16" t="s">
        <v>84</v>
      </c>
      <c r="H13" s="16" t="s">
        <v>1459</v>
      </c>
      <c r="I13" s="16" t="s">
        <v>1460</v>
      </c>
      <c r="J13" s="17">
        <v>46023</v>
      </c>
      <c r="K13" s="16" t="s">
        <v>1461</v>
      </c>
      <c r="L13" s="16" t="s">
        <v>1462</v>
      </c>
      <c r="M13" s="16" t="s">
        <v>1463</v>
      </c>
      <c r="N13" s="16" t="s">
        <v>1464</v>
      </c>
      <c r="O13" s="16" t="s">
        <v>1408</v>
      </c>
      <c r="P13" s="16" t="s">
        <v>1409</v>
      </c>
      <c r="Q13" s="16"/>
      <c r="R13" s="16"/>
    </row>
    <row r="14" spans="1:18" ht="45" x14ac:dyDescent="0.2">
      <c r="A14" s="18" t="s">
        <v>1465</v>
      </c>
      <c r="B14" s="13" t="s">
        <v>1466</v>
      </c>
      <c r="C14" s="13">
        <v>2023</v>
      </c>
      <c r="D14" s="13" t="s">
        <v>1402</v>
      </c>
      <c r="E14" s="13">
        <v>18</v>
      </c>
      <c r="F14" s="13" t="s">
        <v>76</v>
      </c>
      <c r="G14" s="13" t="s">
        <v>63</v>
      </c>
      <c r="H14" s="13" t="s">
        <v>1459</v>
      </c>
      <c r="I14" s="13" t="s">
        <v>1467</v>
      </c>
      <c r="J14" s="19">
        <v>46177</v>
      </c>
      <c r="K14" s="13" t="s">
        <v>1468</v>
      </c>
      <c r="L14" s="13" t="s">
        <v>1469</v>
      </c>
      <c r="M14" s="13" t="s">
        <v>1431</v>
      </c>
      <c r="N14" s="13" t="s">
        <v>1470</v>
      </c>
      <c r="O14" s="13" t="s">
        <v>1408</v>
      </c>
      <c r="P14" s="13" t="s">
        <v>1409</v>
      </c>
      <c r="Q14" s="13"/>
      <c r="R14" s="13"/>
    </row>
    <row r="15" spans="1:18" ht="45" x14ac:dyDescent="0.2">
      <c r="A15" s="15" t="s">
        <v>1471</v>
      </c>
      <c r="B15" s="16" t="s">
        <v>1472</v>
      </c>
      <c r="C15" s="16">
        <v>2020</v>
      </c>
      <c r="D15" s="16" t="s">
        <v>1402</v>
      </c>
      <c r="E15" s="16">
        <v>25</v>
      </c>
      <c r="F15" s="16" t="s">
        <v>66</v>
      </c>
      <c r="G15" s="16" t="s">
        <v>63</v>
      </c>
      <c r="H15" s="16" t="s">
        <v>1459</v>
      </c>
      <c r="I15" s="16" t="s">
        <v>1467</v>
      </c>
      <c r="J15" s="17">
        <v>46177</v>
      </c>
      <c r="K15" s="16" t="s">
        <v>1473</v>
      </c>
      <c r="L15" s="16" t="s">
        <v>1474</v>
      </c>
      <c r="M15" s="16" t="s">
        <v>1431</v>
      </c>
      <c r="N15" s="16"/>
      <c r="O15" s="16" t="s">
        <v>1408</v>
      </c>
      <c r="P15" s="16" t="s">
        <v>1409</v>
      </c>
      <c r="Q15" s="16"/>
      <c r="R15" s="16"/>
    </row>
    <row r="16" spans="1:18" ht="45" x14ac:dyDescent="0.2">
      <c r="A16" s="18" t="s">
        <v>1475</v>
      </c>
      <c r="B16" s="13" t="s">
        <v>1476</v>
      </c>
      <c r="C16" s="13">
        <v>2024</v>
      </c>
      <c r="D16" s="13" t="s">
        <v>1402</v>
      </c>
      <c r="E16" s="13">
        <v>12</v>
      </c>
      <c r="F16" s="13" t="s">
        <v>76</v>
      </c>
      <c r="G16" s="13" t="s">
        <v>63</v>
      </c>
      <c r="H16" s="13" t="s">
        <v>1459</v>
      </c>
      <c r="I16" s="13" t="s">
        <v>1477</v>
      </c>
      <c r="J16" s="19">
        <v>46177</v>
      </c>
      <c r="K16" s="13" t="s">
        <v>1478</v>
      </c>
      <c r="L16" s="13" t="s">
        <v>1479</v>
      </c>
      <c r="M16" s="13" t="s">
        <v>1431</v>
      </c>
      <c r="N16" s="13" t="s">
        <v>1480</v>
      </c>
      <c r="O16" s="13" t="s">
        <v>1408</v>
      </c>
      <c r="P16" s="13" t="s">
        <v>1409</v>
      </c>
      <c r="Q16" s="13"/>
      <c r="R16" s="13"/>
    </row>
    <row r="17" spans="1:18" ht="45" x14ac:dyDescent="0.2">
      <c r="A17" s="15" t="s">
        <v>1481</v>
      </c>
      <c r="B17" s="16" t="s">
        <v>1482</v>
      </c>
      <c r="C17" s="16">
        <v>2023</v>
      </c>
      <c r="D17" s="16" t="s">
        <v>1483</v>
      </c>
      <c r="E17" s="16">
        <v>25</v>
      </c>
      <c r="F17" s="16" t="s">
        <v>49</v>
      </c>
      <c r="G17" s="16" t="s">
        <v>472</v>
      </c>
      <c r="H17" s="16" t="s">
        <v>52</v>
      </c>
      <c r="I17" s="16" t="s">
        <v>1484</v>
      </c>
      <c r="J17" s="17">
        <v>46113</v>
      </c>
      <c r="K17" s="16" t="s">
        <v>1485</v>
      </c>
      <c r="L17" s="16" t="s">
        <v>1486</v>
      </c>
      <c r="M17" s="16" t="s">
        <v>1487</v>
      </c>
      <c r="N17" s="16" t="s">
        <v>1488</v>
      </c>
      <c r="O17" s="16" t="s">
        <v>1408</v>
      </c>
      <c r="P17" s="16" t="s">
        <v>1409</v>
      </c>
      <c r="Q17" s="16"/>
      <c r="R17" s="16"/>
    </row>
    <row r="18" spans="1:18" ht="45" x14ac:dyDescent="0.2">
      <c r="A18" s="18" t="s">
        <v>1489</v>
      </c>
      <c r="B18" s="13" t="s">
        <v>1490</v>
      </c>
      <c r="C18" s="13">
        <v>2025</v>
      </c>
      <c r="D18" s="13" t="s">
        <v>1491</v>
      </c>
      <c r="E18" s="13">
        <v>15</v>
      </c>
      <c r="F18" s="13" t="s">
        <v>49</v>
      </c>
      <c r="G18" s="13" t="s">
        <v>472</v>
      </c>
      <c r="H18" s="13" t="s">
        <v>52</v>
      </c>
      <c r="I18" s="13" t="s">
        <v>1492</v>
      </c>
      <c r="J18" s="19">
        <v>46092</v>
      </c>
      <c r="K18" s="13" t="s">
        <v>1493</v>
      </c>
      <c r="L18" s="13" t="s">
        <v>1494</v>
      </c>
      <c r="M18" s="13" t="s">
        <v>1495</v>
      </c>
      <c r="N18" s="13" t="s">
        <v>1496</v>
      </c>
      <c r="O18" s="13" t="s">
        <v>1408</v>
      </c>
      <c r="P18" s="13" t="s">
        <v>1409</v>
      </c>
      <c r="Q18" s="13"/>
      <c r="R18" s="13"/>
    </row>
    <row r="19" spans="1:18" ht="45" x14ac:dyDescent="0.2">
      <c r="A19" s="15" t="s">
        <v>1497</v>
      </c>
      <c r="B19" s="16" t="s">
        <v>1498</v>
      </c>
      <c r="C19" s="16">
        <v>2025</v>
      </c>
      <c r="D19" s="16" t="s">
        <v>1499</v>
      </c>
      <c r="E19" s="16">
        <v>25</v>
      </c>
      <c r="F19" s="16" t="s">
        <v>135</v>
      </c>
      <c r="G19" s="16" t="s">
        <v>63</v>
      </c>
      <c r="H19" s="16" t="s">
        <v>52</v>
      </c>
      <c r="I19" s="16" t="s">
        <v>1500</v>
      </c>
      <c r="J19" s="17">
        <v>46133</v>
      </c>
      <c r="K19" s="16" t="s">
        <v>1501</v>
      </c>
      <c r="L19" s="16" t="s">
        <v>1502</v>
      </c>
      <c r="M19" s="16" t="s">
        <v>1503</v>
      </c>
      <c r="N19" s="16" t="s">
        <v>1504</v>
      </c>
      <c r="O19" s="16" t="s">
        <v>1408</v>
      </c>
      <c r="P19" s="16" t="s">
        <v>1409</v>
      </c>
      <c r="Q19" s="16"/>
      <c r="R19" s="16"/>
    </row>
    <row r="20" spans="1:18" ht="45" x14ac:dyDescent="0.2">
      <c r="A20" s="18" t="s">
        <v>1505</v>
      </c>
      <c r="B20" s="13" t="s">
        <v>1506</v>
      </c>
      <c r="C20" s="13">
        <v>2025</v>
      </c>
      <c r="D20" s="13" t="s">
        <v>1507</v>
      </c>
      <c r="E20" s="13">
        <v>30</v>
      </c>
      <c r="F20" s="13" t="s">
        <v>49</v>
      </c>
      <c r="G20" s="13" t="s">
        <v>63</v>
      </c>
      <c r="H20" s="13" t="s">
        <v>52</v>
      </c>
      <c r="I20" s="13" t="s">
        <v>1508</v>
      </c>
      <c r="J20" s="19">
        <v>46188</v>
      </c>
      <c r="K20" s="13" t="s">
        <v>1509</v>
      </c>
      <c r="L20" s="13" t="s">
        <v>1510</v>
      </c>
      <c r="M20" s="13" t="s">
        <v>1511</v>
      </c>
      <c r="N20" s="13" t="s">
        <v>1512</v>
      </c>
      <c r="O20" s="13" t="s">
        <v>1408</v>
      </c>
      <c r="P20" s="13" t="s">
        <v>1409</v>
      </c>
      <c r="Q20" s="13"/>
      <c r="R20" s="13"/>
    </row>
    <row r="21" spans="1:18" ht="45" x14ac:dyDescent="0.2">
      <c r="A21" s="15" t="s">
        <v>1513</v>
      </c>
      <c r="B21" s="16" t="s">
        <v>1514</v>
      </c>
      <c r="C21" s="16">
        <v>2025</v>
      </c>
      <c r="D21" s="16" t="s">
        <v>1515</v>
      </c>
      <c r="E21" s="16">
        <v>12</v>
      </c>
      <c r="F21" s="16" t="s">
        <v>49</v>
      </c>
      <c r="G21" s="16" t="s">
        <v>63</v>
      </c>
      <c r="H21" s="16" t="s">
        <v>52</v>
      </c>
      <c r="I21" s="16" t="s">
        <v>1516</v>
      </c>
      <c r="J21" s="17">
        <v>46127</v>
      </c>
      <c r="K21" s="16" t="s">
        <v>1517</v>
      </c>
      <c r="L21" s="16" t="s">
        <v>1518</v>
      </c>
      <c r="M21" s="16" t="s">
        <v>1519</v>
      </c>
      <c r="N21" s="16" t="s">
        <v>1520</v>
      </c>
      <c r="O21" s="16" t="s">
        <v>1408</v>
      </c>
      <c r="P21" s="16" t="s">
        <v>1409</v>
      </c>
      <c r="Q21" s="16"/>
      <c r="R21" s="16"/>
    </row>
    <row r="22" spans="1:18" ht="30" x14ac:dyDescent="0.2">
      <c r="A22" s="18" t="s">
        <v>1521</v>
      </c>
      <c r="B22" s="13" t="s">
        <v>1522</v>
      </c>
      <c r="C22" s="13">
        <v>2025</v>
      </c>
      <c r="D22" s="13" t="s">
        <v>1515</v>
      </c>
      <c r="E22" s="13">
        <v>8</v>
      </c>
      <c r="F22" s="13" t="s">
        <v>49</v>
      </c>
      <c r="G22" s="13" t="s">
        <v>84</v>
      </c>
      <c r="H22" s="13" t="s">
        <v>52</v>
      </c>
      <c r="I22" s="13" t="s">
        <v>1523</v>
      </c>
      <c r="J22" s="19">
        <v>46096</v>
      </c>
      <c r="K22" s="13" t="s">
        <v>1524</v>
      </c>
      <c r="L22" s="13" t="s">
        <v>1525</v>
      </c>
      <c r="M22" s="13" t="s">
        <v>1526</v>
      </c>
      <c r="N22" s="13" t="s">
        <v>1527</v>
      </c>
      <c r="O22" s="13" t="s">
        <v>1408</v>
      </c>
      <c r="P22" s="13" t="s">
        <v>1409</v>
      </c>
      <c r="Q22" s="13"/>
      <c r="R22" s="13"/>
    </row>
    <row r="23" spans="1:18" ht="30" x14ac:dyDescent="0.2">
      <c r="A23" s="15" t="s">
        <v>1528</v>
      </c>
      <c r="B23" s="16" t="s">
        <v>1529</v>
      </c>
      <c r="C23" s="16">
        <v>2020</v>
      </c>
      <c r="D23" s="16" t="s">
        <v>1530</v>
      </c>
      <c r="E23" s="16">
        <v>25</v>
      </c>
      <c r="F23" s="16" t="s">
        <v>49</v>
      </c>
      <c r="G23" s="16" t="s">
        <v>472</v>
      </c>
      <c r="H23" s="16" t="s">
        <v>52</v>
      </c>
      <c r="I23" s="16" t="s">
        <v>1531</v>
      </c>
      <c r="J23" s="17">
        <v>46188</v>
      </c>
      <c r="K23" s="16" t="s">
        <v>1532</v>
      </c>
      <c r="L23" s="16" t="s">
        <v>1533</v>
      </c>
      <c r="M23" s="16" t="s">
        <v>1511</v>
      </c>
      <c r="N23" s="16" t="s">
        <v>1534</v>
      </c>
      <c r="O23" s="16" t="s">
        <v>1408</v>
      </c>
      <c r="P23" s="16" t="s">
        <v>1409</v>
      </c>
      <c r="Q23" s="16"/>
      <c r="R23" s="16"/>
    </row>
    <row r="24" spans="1:18" ht="30" x14ac:dyDescent="0.2">
      <c r="A24" s="18" t="s">
        <v>1535</v>
      </c>
      <c r="B24" s="13" t="s">
        <v>1536</v>
      </c>
      <c r="C24" s="13">
        <v>2023</v>
      </c>
      <c r="D24" s="13" t="s">
        <v>1427</v>
      </c>
      <c r="E24" s="13">
        <v>20</v>
      </c>
      <c r="F24" s="13" t="s">
        <v>49</v>
      </c>
      <c r="G24" s="13" t="s">
        <v>472</v>
      </c>
      <c r="H24" s="13" t="s">
        <v>52</v>
      </c>
      <c r="I24" s="13" t="s">
        <v>1537</v>
      </c>
      <c r="J24" s="19">
        <v>46218</v>
      </c>
      <c r="K24" s="13" t="s">
        <v>1538</v>
      </c>
      <c r="L24" s="13" t="s">
        <v>1539</v>
      </c>
      <c r="M24" s="13" t="s">
        <v>1540</v>
      </c>
      <c r="N24" s="13" t="s">
        <v>1541</v>
      </c>
      <c r="O24" s="13" t="s">
        <v>1408</v>
      </c>
      <c r="P24" s="13" t="s">
        <v>1409</v>
      </c>
      <c r="Q24" s="13"/>
      <c r="R24" s="13"/>
    </row>
  </sheetData>
  <mergeCells count="2">
    <mergeCell ref="A2:H2"/>
    <mergeCell ref="A1:H1"/>
  </mergeCells>
  <dataValidations count="5">
    <dataValidation type="list" allowBlank="1" errorTitle="Invalid entry" error="Value not in list" sqref="H5:H500" xr:uid="{00000000-0002-0000-0E00-000000000000}">
      <formula1>"Accelerator,Regulator,Media,Hiring,Seed"</formula1>
    </dataValidation>
    <dataValidation type="list" allowBlank="1" errorTitle="Invalid entry" error="Value not in list" sqref="G5:G500" xr:uid="{00000000-0002-0000-0E00-000001000000}">
      <formula1>"Consumer,Commercial and B2B,Disbursement and Payout,Vertical-specialist"</formula1>
    </dataValidation>
    <dataValidation type="list" allowBlank="1" errorTitle="Invalid entry" error="Value not in list" sqref="F5:F500" xr:uid="{00000000-0002-0000-0E00-000002000000}">
      <formula1>"Digital Banking,Expense Management,Lending (SMB),Lending (Consumer),FX Payments,Investment Management,Disbursement,Payments,BaaS,Retail,Ecommerce,Crypto"</formula1>
    </dataValidation>
    <dataValidation type="list" allowBlank="1" errorTitle="Invalid entry" error="Value not in list" sqref="O5:O500" xr:uid="{00000000-0002-0000-0E00-000003000000}">
      <formula1>"Not Ready,Ready,Promoted,Archived"</formula1>
    </dataValidation>
    <dataValidation type="list" allowBlank="1" errorTitle="Invalid entry" error="Value not in list" sqref="P5:P500" xr:uid="{00000000-0002-0000-0E00-000004000000}">
      <formula1>"Pending,Reviewed,Skipped"</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5BDA2C57BD68F408C1A462D944E02E0" ma:contentTypeVersion="11" ma:contentTypeDescription="Create a new document." ma:contentTypeScope="" ma:versionID="6a7c955d68ddc9e783ef82c826018b9a">
  <xsd:schema xmlns:xsd="http://www.w3.org/2001/XMLSchema" xmlns:xs="http://www.w3.org/2001/XMLSchema" xmlns:p="http://schemas.microsoft.com/office/2006/metadata/properties" xmlns:ns2="0c3c262a-8d91-4e18-82b0-a023386c1bb6" xmlns:ns3="0339aa99-c98b-4cf6-9a15-cebf99f00098" targetNamespace="http://schemas.microsoft.com/office/2006/metadata/properties" ma:root="true" ma:fieldsID="fd850bfe1fbc7a226fb571b44a277a38" ns2:_="" ns3:_="">
    <xsd:import namespace="0c3c262a-8d91-4e18-82b0-a023386c1bb6"/>
    <xsd:import namespace="0339aa99-c98b-4cf6-9a15-cebf99f0009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3c262a-8d91-4e18-82b0-a023386c1b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55179cb-e00f-448f-9598-53b8b868b57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339aa99-c98b-4cf6-9a15-cebf99f0009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8e92687-623e-4c17-8017-8031e0f69609}" ma:internalName="TaxCatchAll" ma:showField="CatchAllData" ma:web="0339aa99-c98b-4cf6-9a15-cebf99f000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c3c262a-8d91-4e18-82b0-a023386c1bb6">
      <Terms xmlns="http://schemas.microsoft.com/office/infopath/2007/PartnerControls"/>
    </lcf76f155ced4ddcb4097134ff3c332f>
    <TaxCatchAll xmlns="0339aa99-c98b-4cf6-9a15-cebf99f00098" xsi:nil="true"/>
  </documentManagement>
</p:properties>
</file>

<file path=customXml/itemProps1.xml><?xml version="1.0" encoding="utf-8"?>
<ds:datastoreItem xmlns:ds="http://schemas.openxmlformats.org/officeDocument/2006/customXml" ds:itemID="{E074EA61-6E35-4160-8897-794810BE5B3F}">
  <ds:schemaRefs>
    <ds:schemaRef ds:uri="http://schemas.microsoft.com/sharepoint/v3/contenttype/forms"/>
  </ds:schemaRefs>
</ds:datastoreItem>
</file>

<file path=customXml/itemProps2.xml><?xml version="1.0" encoding="utf-8"?>
<ds:datastoreItem xmlns:ds="http://schemas.openxmlformats.org/officeDocument/2006/customXml" ds:itemID="{92B33827-AE25-43BF-B54D-08FF025CCE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3c262a-8d91-4e18-82b0-a023386c1bb6"/>
    <ds:schemaRef ds:uri="0339aa99-c98b-4cf6-9a15-cebf99f000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F1444AA-370B-40BF-A1E2-356BEEBC7D17}">
  <ds:schemaRefs>
    <ds:schemaRef ds:uri="http://purl.org/dc/elements/1.1/"/>
    <ds:schemaRef ds:uri="http://purl.org/dc/terms/"/>
    <ds:schemaRef ds:uri="http://schemas.microsoft.com/office/2006/documentManagement/types"/>
    <ds:schemaRef ds:uri="http://schemas.openxmlformats.org/package/2006/metadata/core-properties"/>
    <ds:schemaRef ds:uri="http://purl.org/dc/dcmitype/"/>
    <ds:schemaRef ds:uri="http://www.w3.org/XML/1998/namespace"/>
    <ds:schemaRef ds:uri="0c3c262a-8d91-4e18-82b0-a023386c1bb6"/>
    <ds:schemaRef ds:uri="http://schemas.microsoft.com/office/infopath/2007/PartnerControls"/>
    <ds:schemaRef ds:uri="0339aa99-c98b-4cf6-9a15-cebf99f00098"/>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Cover</vt:lpstr>
      <vt:lpstr>01_Parameter_Reference</vt:lpstr>
      <vt:lpstr>Scoring_Lookups</vt:lpstr>
      <vt:lpstr>02_Scoring_Register</vt:lpstr>
      <vt:lpstr>03_Contacts</vt:lpstr>
      <vt:lpstr>04_Triggers</vt:lpstr>
      <vt:lpstr>05_Audit_Log</vt:lpstr>
      <vt:lpstr>06_Activities</vt:lpstr>
      <vt:lpstr>07_Meetings</vt:lpstr>
      <vt:lpstr>08_Suppression_List</vt:lpstr>
      <vt:lpstr>09_Freshsales_Field_Map</vt:lpstr>
      <vt:lpstr>Anti_Profile_Reference</vt:lpstr>
      <vt:lpstr>Tier_Definitions</vt:lpstr>
      <vt:lpstr>Lookups</vt:lpstr>
      <vt:lpstr>10_Watch_List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Ian Johnson</cp:lastModifiedBy>
  <cp:revision>0</cp:revision>
  <dcterms:created xsi:type="dcterms:W3CDTF">2026-07-14T10:46:56Z</dcterms:created>
  <dcterms:modified xsi:type="dcterms:W3CDTF">2026-08-25T13:29:42Z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0x01010085BDA2C57BD68F408C1A462D944E02E0</vt:lpwstr>
  </property>
</Properties>
</file>